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activeTab="2"/>
  </bookViews>
  <sheets>
    <sheet name="结论总览" sheetId="1" r:id="rId1"/>
    <sheet name="已认定案件" sheetId="2" r:id="rId2"/>
    <sheet name="易迅风险线索" sheetId="3" r:id="rId3"/>
    <sheet name="税额拆分与口径" sheetId="4" r:id="rId4"/>
    <sheet name="调证清单" sheetId="5" r:id="rId5"/>
    <sheet name="证据分级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<sst xmlns="http://schemas.openxmlformats.org/spreadsheetml/2006/main" count="325" uniqueCount="291">
  <si>
    <t>反倾销税偷逃与第三国绕道风险｜证据总览</t>
  </si>
  <si>
    <t>截至2026-08-09。金额分为‘处罚认定值’与‘以平台金额测算的理论暴露值’；二者不得混用。企业名称仅用于依法核查，不代表违法结论。</t>
  </si>
  <si>
    <t>2024年以来已认定案件（宗）</t>
  </si>
  <si>
    <t>已认定漏缴税款合计（元）</t>
  </si>
  <si>
    <t>已处罚款合计（元）</t>
  </si>
  <si>
    <t>已公开重量（kg，仅已认定案件）</t>
  </si>
  <si>
    <t>硬结论：目前公开资料中，2024年以来3宗处罚合计漏缴税款772,257.60元、罚款338,800元。只有上海酞菁蓝案公开了4,000kg并拆分税种；EPDM与KAMAX案公开决定未披露重量，不能估填。</t>
  </si>
  <si>
    <t>线索</t>
  </si>
  <si>
    <t>涉及数量</t>
  </si>
  <si>
    <t>证据强度</t>
  </si>
  <si>
    <t>已见事实</t>
  </si>
  <si>
    <t>可能少缴税种</t>
  </si>
  <si>
    <t>理论暴露口径</t>
  </si>
  <si>
    <t>关键缺口</t>
  </si>
  <si>
    <t>处置优先级</t>
  </si>
  <si>
    <t>POM：HOSTAFORM LW15EWX</t>
  </si>
  <si>
    <t>25kg</t>
  </si>
  <si>
    <t>A-</t>
  </si>
  <si>
    <t>越南对华记录原产地字段Vietnam，但货描#&amp;DE；一袋25kg</t>
  </si>
  <si>
    <t>反倾销税34.5%+进口增值税差额</t>
  </si>
  <si>
    <t>按平台VND4,774,382.5测算合计VND1,861,293.02</t>
  </si>
  <si>
    <t>中国报关原产地、批号、越南CO及Hamakyu上游</t>
  </si>
  <si>
    <t>最高</t>
  </si>
  <si>
    <r>
      <t>酞菁蓝：印度</t>
    </r>
    <r>
      <rPr>
        <sz val="11"/>
        <rFont val="Carlito"/>
        <charset val="134"/>
      </rPr>
      <t>→</t>
    </r>
    <r>
      <rPr>
        <sz val="11"/>
        <rFont val="宋体"/>
        <charset val="134"/>
      </rPr>
      <t>越南</t>
    </r>
    <r>
      <rPr>
        <sz val="11"/>
        <rFont val="Carlito"/>
        <charset val="134"/>
      </rPr>
      <t>→</t>
    </r>
    <r>
      <rPr>
        <sz val="11"/>
        <rFont val="宋体"/>
        <charset val="134"/>
      </rPr>
      <t>中国</t>
    </r>
  </si>
  <si>
    <t>35票/738,620kg</t>
  </si>
  <si>
    <t>B+</t>
  </si>
  <si>
    <t>印度→越南490条；越南→中国同CAS/品类35票，均#&amp;VN</t>
  </si>
  <si>
    <t>若仍为印度原产：反倾销税（可能30.7%）+进口增值税差额</t>
  </si>
  <si>
    <t>全量假设下VND34,268,348,785.85；非认定税额</t>
  </si>
  <si>
    <t>同一主体/型号/批次两程闭环、实质性加工</t>
  </si>
  <si>
    <t>高</t>
  </si>
  <si>
    <t>氯氰菊酯：Tagros</t>
  </si>
  <si>
    <t>32,000kg（去重）</t>
  </si>
  <si>
    <t>A</t>
  </si>
  <si>
    <t>印度列名生产商直接对华，16吨×2</t>
  </si>
  <si>
    <t>反倾销税48.4%+进口增值税差额</t>
  </si>
  <si>
    <t>按出口侧USD191,200测算合计USD104,571.10</t>
  </si>
  <si>
    <t>中国进口人、税款缴款书、CAS/税号</t>
  </si>
  <si>
    <t>高（直接税率执行）</t>
  </si>
  <si>
    <t>氯氰菊酯：Meghmani</t>
  </si>
  <si>
    <t>36,000kg（去重）</t>
  </si>
  <si>
    <t>印度列名生产商直接对华大票</t>
  </si>
  <si>
    <t>反倾销税62.0%+进口增值税差额</t>
  </si>
  <si>
    <t>按出口侧USD201,600测算合计USD141,240.96</t>
  </si>
  <si>
    <t>KAMAX S.L.U直接对华历史</t>
  </si>
  <si>
    <t>993.4kg螺钉</t>
  </si>
  <si>
    <t>西班牙生产商已有直接中国发货历史</t>
  </si>
  <si>
    <t>用于核查6.1%与26%生产商税率错套</t>
  </si>
  <si>
    <t>不计算；与处罚票非同批</t>
  </si>
  <si>
    <t>处罚两票对应提单/生产商文件</t>
  </si>
  <si>
    <t>中高</t>
  </si>
  <si>
    <t>法律与取证口径：平台贸易记录只能形成调单线索。认定第三国规避至少需要证明涉案货物原产国、第三国加工不足以改变原产地、对华进口申报采用了不实原产地/生产商/税号，以及少缴税额。</t>
  </si>
  <si>
    <t>已认定漏缴反倾销税及相关税款案件</t>
  </si>
  <si>
    <t>‘总漏缴税款’和‘罚款’为处罚/判决公开数；税种未拆分处保持空白，不反推为正式认定额。数量未公开即留空。</t>
  </si>
  <si>
    <t>证据级别</t>
  </si>
  <si>
    <t>日期</t>
  </si>
  <si>
    <t>文书号</t>
  </si>
  <si>
    <t>海关/机关</t>
  </si>
  <si>
    <t>进口人</t>
  </si>
  <si>
    <t>报关企业</t>
  </si>
  <si>
    <t>商品</t>
  </si>
  <si>
    <t>HS/申报差异</t>
  </si>
  <si>
    <t>票数</t>
  </si>
  <si>
    <t>数量kg</t>
  </si>
  <si>
    <t>涉案/计税货值RMB</t>
  </si>
  <si>
    <t>申报情况</t>
  </si>
  <si>
    <t>实际/应申报</t>
  </si>
  <si>
    <t>适用税率</t>
  </si>
  <si>
    <t>少缴反倾销税RMB</t>
  </si>
  <si>
    <t>少缴进口增值税RMB</t>
  </si>
  <si>
    <t>总漏缴税款RMB</t>
  </si>
  <si>
    <t>罚款RMB</t>
  </si>
  <si>
    <t>手法与税种</t>
  </si>
  <si>
    <t>来源与说明</t>
  </si>
  <si>
    <t>已认定（行政处罚）</t>
  </si>
  <si>
    <t>2025-03-12</t>
  </si>
  <si>
    <t>海沧关缉违字〔2025〕100号</t>
  </si>
  <si>
    <t>厦门海沧海关</t>
  </si>
  <si>
    <t>厦门翔邦高分子科技有限公司</t>
  </si>
  <si>
    <t>厦门诚运通报关行有限公司</t>
  </si>
  <si>
    <t>三元乙丙橡胶（EPDM）</t>
  </si>
  <si>
    <t>4002701000</t>
  </si>
  <si>
    <t>未填报原生产商中英文名称及反倾销税率</t>
  </si>
  <si>
    <t>原产美国/韩国/欧盟EPDM须按生产商适用税率申报</t>
  </si>
  <si>
    <t>美国214.9%–222%；韩国12.5%–24.5%；欧盟14.7%–31.7%（需按生产商）</t>
  </si>
  <si>
    <t>漏报原生产商/税率字段；反倾销税；总额可能含由反倾销税进入计税基础形成的进口增值税差额，决定书未拆分</t>
  </si>
  <si>
    <t>https://www.jitinfo.net/Service/Detail?detail=6883ba77-2a27-a778-0091-40de37b92d64
涉案货值40.707789万元；公开决定未披露重量。易迅按XIAMEN XIANGBANG+EPDM检索未命中，不等于不存在进口。</t>
  </si>
  <si>
    <t>2024-03-20</t>
  </si>
  <si>
    <t>沪吴淞关缉违字〔2024〕15号</t>
  </si>
  <si>
    <t>上海吴淞海关</t>
  </si>
  <si>
    <t>上海嘉助贸易有限公司</t>
  </si>
  <si>
    <t>未公开</t>
  </si>
  <si>
    <t>印度原产酞菁蓝颜料</t>
  </si>
  <si>
    <t>申报3204170090；实际3204170020</t>
  </si>
  <si>
    <t>CIF 68,000美元；HS 3204170090</t>
  </si>
  <si>
    <t>应归入3204170020；适用印度其他公司30.7%反倾销税率</t>
  </si>
  <si>
    <t>30.7%</t>
  </si>
  <si>
    <t>税号错报，导致反倾销措施未执行；反倾销税149,879.24元；进口环节增值税19,484.30元</t>
  </si>
  <si>
    <t>https://pdf.dfcfw.com/pdf/H2_AN202407191638089496_1.pdf?1721403630000.pdf=
数量、税种和税额均有公开处罚文件支撑；属于直接印度进口错报，不是第三国绕道。</t>
  </si>
  <si>
    <t>2025-05-15/2025-07-23</t>
  </si>
  <si>
    <t>甬奉关缉违字〔2026〕2号</t>
  </si>
  <si>
    <t>宁波奉化海关</t>
  </si>
  <si>
    <t>浙江锐泰悬挂系统科技有限公司</t>
  </si>
  <si>
    <t>KAMAX螺栓</t>
  </si>
  <si>
    <t>7318151001</t>
  </si>
  <si>
    <t>生产商KAMAX GmbH &amp; Co.KG，反倾销税率6.1%；成交方式FOB</t>
  </si>
  <si>
    <t>生产商KAMAX S.L.U，税率26%；实际EXW，另漏报1,900欧元和1,155美元费用</t>
  </si>
  <si>
    <t>6.1%→26%（差19.9个百分点）</t>
  </si>
  <si>
    <t>生产商错报+成交方式/完税价格低报；生产商税率差导致的反倾销税差额及其进口增值税；漏报运保杂费还影响关税、反倾销税和进口增值税计税基础</t>
  </si>
  <si>
    <t>https://m.sohu.com/a/1029239603_121218495
公开决定未披露重量。仅按19.9个百分点测算：反倾销税差约475,500.75元、由此增加的进口增值税约61,815.10元；其余约6,914.92元与漏报费用等有关，非正式拆分。</t>
  </si>
  <si>
    <t>历史判例（刑事，方法参照）</t>
  </si>
  <si>
    <t>2018</t>
  </si>
  <si>
    <t>（2018）津02刑初45号</t>
  </si>
  <si>
    <t>天津（法院判决）</t>
  </si>
  <si>
    <t>公开摘要未列全称</t>
  </si>
  <si>
    <t>—</t>
  </si>
  <si>
    <t>太阳能级多晶硅</t>
  </si>
  <si>
    <t>未披露</t>
  </si>
  <si>
    <t>美国货物运至台湾简单加工后取得台湾原产地证</t>
  </si>
  <si>
    <t>法院认定通过第三地简单加工规避美国原产反倾销措施</t>
  </si>
  <si>
    <t>美国→台湾简单加工/更换原产地→中国；第三国绕道已被司法认定；偷逃反倾销税及相关进口环节税款（公开摘要合计口径）</t>
  </si>
  <si>
    <t>https://www.tradesichuan.com/jmzx/1987.html
公开摘要称偷逃税款380余万元；数量未披露。用于说明第三国绕道需要‘简单加工+原产地证+回流中国’闭环。</t>
  </si>
  <si>
    <t>历史处罚（方法参照）</t>
  </si>
  <si>
    <t>2023</t>
  </si>
  <si>
    <t>沪洋山关缉违字〔2023〕270号</t>
  </si>
  <si>
    <t>上海洋山海关</t>
  </si>
  <si>
    <t>冻鸡爪</t>
  </si>
  <si>
    <t>C&amp;F 140,400美元；错误适用0税率/价格承诺</t>
  </si>
  <si>
    <t>生产商AGROSUL相关货物适用20.2%反倾销税率</t>
  </si>
  <si>
    <t>20.2%</t>
  </si>
  <si>
    <t>错误适用价格承诺/0税率；反倾销税及由此形成的进口环节税款（公开摘要未拆分）</t>
  </si>
  <si>
    <t>https://www.tradesichuan.com/jmzx/1987.html
历史税率适用错误参照；不是第三国绕道。</t>
  </si>
  <si>
    <t>易迅贸易数据｜数量、税种与理论暴露值</t>
  </si>
  <si>
    <t>计算列以平台金额字段为基数：反倾销税=金额×税率；进口增值税增量=反倾销税×13%。平台金额并非中国海关审定完税价格，币种也不得换算为人民币认定税额。</t>
  </si>
  <si>
    <t>线索ID</t>
  </si>
  <si>
    <t>证据等级</t>
  </si>
  <si>
    <t>商品/牌号</t>
  </si>
  <si>
    <t>HS及范围提醒</t>
  </si>
  <si>
    <t>路线</t>
  </si>
  <si>
    <t>数量</t>
  </si>
  <si>
    <t>单位</t>
  </si>
  <si>
    <t>平台金额</t>
  </si>
  <si>
    <t>币种</t>
  </si>
  <si>
    <t>第一程/上游</t>
  </si>
  <si>
    <t>第二程/对华</t>
  </si>
  <si>
    <t>异常/匹配信号</t>
  </si>
  <si>
    <t>税率/差率</t>
  </si>
  <si>
    <t>理论反倾销税</t>
  </si>
  <si>
    <t>理论进口增值税增量</t>
  </si>
  <si>
    <t>理论合计</t>
  </si>
  <si>
    <t>证据限制</t>
  </si>
  <si>
    <t>来源</t>
  </si>
  <si>
    <t>POM-DE-VN-CN-001</t>
  </si>
  <si>
    <t>A-：字段冲突，优先调单</t>
  </si>
  <si>
    <t>共聚POM / HOSTAFORM LW15EWX</t>
  </si>
  <si>
    <t>39071010/39071090（须判定是否共聚POM且非改性产品）</t>
  </si>
  <si>
    <t>德国→越南；越南→中国</t>
  </si>
  <si>
    <t>2025-10-07 / 2026-05-26</t>
  </si>
  <si>
    <t>kg（对华第二程）</t>
  </si>
  <si>
    <t>VND（平台金额字段）</t>
  </si>
  <si>
    <t>Celanese Performance Solutions Switzerland SARL→CÔNG TY TNHH BỒ CÔNG ANH SÀI GÒN：德国原产LW15EWX 1,000kg、25kg/袋</t>
  </si>
  <si>
    <t>CÔNG TY TNHH HAMAKYU→SHANGHAI HENGJIU HUNDRED TRANSMISSION CO., LTD：LW15EWX 25kg；同票另有越南色母粒2kg</t>
  </si>
  <si>
    <t>对华记录的平台原产地字段为Vietnam，但货描保留“#&amp;DE”；25kg与德国来料每袋25kg一致</t>
  </si>
  <si>
    <t>若中国申报为越南原产而实为德国Celanese涉案共聚POM：少缴反倾销税34.5%及因反倾销税进入税基而少缴的进口增值税</t>
  </si>
  <si>
    <t>尚非定案。上、下游越南主体不同，缺提单号/批次/原产地证/中国报关单；25kg亦可能是样品或合法转售。</t>
  </si>
  <si>
    <t>易迅数据查询（账号内检索，2026-08-08固化）；措施：https://www.mofcom.gov.cn/zcfb/zgdwjjmywg/art/2025/art_09eb6be1f50f4cdaa6a36dfbb09bb529.html</t>
  </si>
  <si>
    <t>PIGMENT-IN-VN-CN-001</t>
  </si>
  <si>
    <t>B+：路线级高风险，未闭环</t>
  </si>
  <si>
    <t>酞菁蓝 / PIGMENT BLUE 150030 / CAS 147-14-8</t>
  </si>
  <si>
    <t>措施范围32041700/32129000；对华记录需核具体中国税号</t>
  </si>
  <si>
    <t>印度→越南；越南→中国</t>
  </si>
  <si>
    <t>近3年；对华记录2023-09至2026-03</t>
  </si>
  <si>
    <t>kg（越南→中国35票合计）</t>
  </si>
  <si>
    <t>印度→越南检得490条；例：KILBURN CHEMICALS BHARUCH→U.C.C越南，多批MEGHAFAST BLUE、CAS147-14-8；另有Indian Chemical Industries→Brenntag Vietnam</t>
  </si>
  <si>
    <t>越南YICAI COLOR PLASTIC/Vĩnh Gia等→HUNAN YIGAO、DONGGUAN CHENGHAN等；35票均申报#&amp;VN，常见24,000kg/票</t>
  </si>
  <si>
    <t>同CAS和酞菁蓝品类形成印度来料与越南对华大批量流向，但未发现同一越南企业、同型号、同批次的两程匹配</t>
  </si>
  <si>
    <t>若经原产地核查认定仍为印度原产且生产商无法适用列名低税率：可能少缴30.7%反倾销税及相应进口增值税</t>
  </si>
  <si>
    <t>738.62吨是对华路线总量，不是已认定逃税数量；需先确认越南是否发生实质性加工及产品是否仍在措施范围。</t>
  </si>
  <si>
    <t>易迅数据查询（账号内检索，2026-08-08固化）；措施：https://dcj.mofcom.gov.cn/article/zcfb/gpmy/202302/20230203393455.shtml</t>
  </si>
  <si>
    <t>CYP-IN-CN-TAGROS</t>
  </si>
  <si>
    <t>A：直接进口调单线索</t>
  </si>
  <si>
    <t>氯氰菊酯原药 / CYPERMETHRIN TECHNICAL</t>
  </si>
  <si>
    <t>2926909013（CAS需核52315-07-8等措施范围）</t>
  </si>
  <si>
    <t>印度→中国（直接）</t>
  </si>
  <si>
    <t>2026-01-06至2026-02-28</t>
  </si>
  <si>
    <t>kg（去重后两票）</t>
  </si>
  <si>
    <t>USD（平台出口金额）</t>
  </si>
  <si>
    <t>TAGROS CHEMICALS INDIA PRIVATE LIMITED→IPO LTD SHNGHAI/买方未展示；16,000kg×2</t>
  </si>
  <si>
    <t>商品名、CAS/纯度（部分记录）和列名生产商匹配；平台多日期重复，已按数量+金额组合去重</t>
  </si>
  <si>
    <t>若中国进口报关未按Tagros 48.4%执行：可能少缴反倾销税及相应进口增值税</t>
  </si>
  <si>
    <t>直接进口，不属于第三国绕道；金额为印度出口侧平台值，不是中国海关审定完税价格。</t>
  </si>
  <si>
    <t>易迅数据查询（账号内检索，2026-08-08固化）；措施：https://www.mofcom.gov.cn/zcfb/zgdwjjmywg/art/2025/art_f4dda218753844ad8244cd84442c7992.html</t>
  </si>
  <si>
    <t>CYP-IN-CN-MEGHMANI</t>
  </si>
  <si>
    <t>2926909013（CAS需核）</t>
  </si>
  <si>
    <t>2026-02-20/21（疑似同票，去重1票）</t>
  </si>
  <si>
    <t>kg</t>
  </si>
  <si>
    <t>MEGHMANI ORGANICS LIMITED→中国（买方字段---）</t>
  </si>
  <si>
    <t>36吨大票、商品名及列名生产商匹配；两日期字段相同，按同票去重</t>
  </si>
  <si>
    <t>若中国进口报关未按Meghmani 62.0%执行：可能少缴反倾销税及相应进口增值税</t>
  </si>
  <si>
    <t>直接进口，不属于第三国绕道；中国实际进口人仍待报关单/提单识别。</t>
  </si>
  <si>
    <t>KAMAX-ES-CN-001</t>
  </si>
  <si>
    <t>B+：生产商识别基准</t>
  </si>
  <si>
    <t>KAMAX S.L.U螺钉/螺栓</t>
  </si>
  <si>
    <t>731815（平台）；处罚案为7318151001</t>
  </si>
  <si>
    <t>西班牙→中国（直接）</t>
  </si>
  <si>
    <t>2024-02-02</t>
  </si>
  <si>
    <t>kg（HS731815 SCREW）</t>
  </si>
  <si>
    <t>KAMAX S.L.U→WUHAN ASIA EUROPE INTERNATIONAL SUPPLY CHAIN MANAGEMENT CO LTD；同批还见垫圈、悬挂零件等</t>
  </si>
  <si>
    <t>证明西班牙KAMAX S.L.U已有直接对华发货历史，可与处罚案错报德国生产商交叉核验</t>
  </si>
  <si>
    <t>不是逃税证据；用于核查是否错误套用德国KAMAX 6.1%而非西班牙KAMAX S.L.U 26%</t>
  </si>
  <si>
    <t>与2025年两票处罚货物并非同批；只能作生产商/供应链身份基准。</t>
  </si>
  <si>
    <t>易迅数据查询（账号内检索，2026-08-08固化）</t>
  </si>
  <si>
    <t>税额拆分、公式与不可比口径</t>
  </si>
  <si>
    <t>进口增值税以完税价格+关税+反倾销税为计税基础，因此漏缴反倾销税还会形成13%的进口增值税增量。若还存在完税价格低报，则需另算关税、反倾销税和增值税。</t>
  </si>
  <si>
    <t>项目</t>
  </si>
  <si>
    <t>已知基数</t>
  </si>
  <si>
    <t>反倾销税率/差率</t>
  </si>
  <si>
    <t>反倾销税/差额</t>
  </si>
  <si>
    <t>进口增值税增量</t>
  </si>
  <si>
    <t>合计</t>
  </si>
  <si>
    <t>性质</t>
  </si>
  <si>
    <t>上海酞菁蓝处罚</t>
  </si>
  <si>
    <t>USD（申报CIF）</t>
  </si>
  <si>
    <t>处罚认定人民币税额，不由本表美元直接计算</t>
  </si>
  <si>
    <t>KAMAX处罚：仅生产商税率差</t>
  </si>
  <si>
    <t>RMB</t>
  </si>
  <si>
    <t>模型拆分；不含漏报运费等因素</t>
  </si>
  <si>
    <t>POM 25kg线索</t>
  </si>
  <si>
    <t>VND（平台）</t>
  </si>
  <si>
    <t>理论情景，非认定税额</t>
  </si>
  <si>
    <t>越南酞菁蓝35票</t>
  </si>
  <si>
    <t>全量极端情景，非认定税额</t>
  </si>
  <si>
    <t>Tagros氯氰菊酯32吨</t>
  </si>
  <si>
    <t>USD（平台出口侧）</t>
  </si>
  <si>
    <t>直接进口调单情景，非认定税额</t>
  </si>
  <si>
    <t>Meghmani氯氰菊酯36吨</t>
  </si>
  <si>
    <t>KAMAX校验：模型合计537,315.85元，与处罚认定544,230.77元相差6,914.92元；差额与漏报运保杂费及其影响有关，不能把模型拆分冒充海关正式税种拆分。</t>
  </si>
  <si>
    <t>进一步核查所需数据与判定目标</t>
  </si>
  <si>
    <t>优先级顺序：先调中国进口报关单与税款，再用提单/集装箱/批号闭环两程货物，最后核第三国是否发生足以改变原产地的实质性加工。</t>
  </si>
  <si>
    <t>数据类别</t>
  </si>
  <si>
    <t>具体字段/材料</t>
  </si>
  <si>
    <t>解决的问题</t>
  </si>
  <si>
    <t>对应线索</t>
  </si>
  <si>
    <t>中国进口申报底单</t>
  </si>
  <si>
    <t>报关单号、进口日期、申报口岸、境内收货人、消费使用单位、境外发货人、生产商、原产国、启运国、HS、规格型号、品牌、数量、单价/总价、成交方式、运保杂费、随附单证编号</t>
  </si>
  <si>
    <t>判断是否申报第三国原产、是否漏填/错填生产商、是否错报税号及完税价格</t>
  </si>
  <si>
    <t>全部</t>
  </si>
  <si>
    <t>原产地与加工证据</t>
  </si>
  <si>
    <t>原产地证、生产商声明、越南工厂BOM/配方、领料单、生产批记录、能源/人工/设备、出入库、增值比例、税则归类变化</t>
  </si>
  <si>
    <t>判定是否发生实质性改变；仅分装、换包、贴标、简单混配通常是高风险信号，但须依法依事实判断</t>
  </si>
  <si>
    <t>运输闭环</t>
  </si>
  <si>
    <t>两程提单号、主/分单、集装箱号、封志号、船名航次、到离港时间、毛净重、件数、包装规格、托盘/唛头</t>
  </si>
  <si>
    <t>把原产国→第三国与第三国→中国匹配到同一批货</t>
  </si>
  <si>
    <t>资金与合同</t>
  </si>
  <si>
    <t>采购/转售合同、发票、信用证、付款路径、保险、运费、关联关系、贸易商毛利</t>
  </si>
  <si>
    <t>识别仅转售、低附加值加工、异常低毛利或价差不足以覆盖加工成本</t>
  </si>
  <si>
    <t>税款核验</t>
  </si>
  <si>
    <t>税款缴款书、海关估价记录、反倾销税率适用依据、生产商税率证明、进口增值税完税凭证</t>
  </si>
  <si>
    <t>精确拆分少缴反倾销税、关税、进口环节增值税；避免把理论测算当认定税额</t>
  </si>
  <si>
    <t>POM专项</t>
  </si>
  <si>
    <t>2026-05-26上海买方申报底单、25kg货物包装/批号、#&amp;DE字段来源、越南出口原产地证；追查Hamakyu上游采购</t>
  </si>
  <si>
    <t>确认平台Vietnam原产地字段是否等同中国进口申报；核对是否德国Celanese原袋转售</t>
  </si>
  <si>
    <t>POM</t>
  </si>
  <si>
    <t>酞菁蓝专项</t>
  </si>
  <si>
    <t>YICAI/Vĩnh Gia 35票的中国进口人、口岸、报关税号、CO Form E/RCEP证书、越南生产记录；KILBURN/U.C.C两程批号</t>
  </si>
  <si>
    <t>从路线级738.62吨中筛出同企业、同CAS、同型号、时间/数量可衔接的批次</t>
  </si>
  <si>
    <t>酞菁蓝</t>
  </si>
  <si>
    <t>氯氰菊酯专项</t>
  </si>
  <si>
    <t>Tagros 32吨、Meghmani 36吨对应中国报关单与税款；买方IPO LTD SHNGHAI/U S L主体全称</t>
  </si>
  <si>
    <t>核是否按2926909013及列名生产商税率执行；该方向是直接税率执行风险，不是第三国绕道</t>
  </si>
  <si>
    <t>氯氰菊酯</t>
  </si>
  <si>
    <t>证据分级与表述边界</t>
  </si>
  <si>
    <t>本清单是执法研判材料，不作违法定性。第三方贸易数据库可能存在字段映射、重复记录、币种和买方遮蔽问题。</t>
  </si>
  <si>
    <t>等级</t>
  </si>
  <si>
    <t>含义</t>
  </si>
  <si>
    <t>允许结论</t>
  </si>
  <si>
    <t>已认定</t>
  </si>
  <si>
    <t>海关处罚决定或法院判决已确认申报违法及少缴/偷逃税额</t>
  </si>
  <si>
    <t>可写明数量（若公开）、税种、税额、罚款和手法</t>
  </si>
  <si>
    <t>对华交易商品、CAS/牌号、涉税生产商高度匹配，可直接调取中国进口底单</t>
  </si>
  <si>
    <t>可写‘高优先级调单线索’，不可写‘已逃税’</t>
  </si>
  <si>
    <t>对华记录存在原产地/货描直接冲突或关键字段矛盾</t>
  </si>
  <si>
    <t>可写‘具体第三国核查线索’，不可据平台字段单独定案</t>
  </si>
  <si>
    <t>第一程和第二程路线、品类均成立，但未匹配同企业/同批次/同单证</t>
  </si>
  <si>
    <t>可写‘路线级高风险’，数量是筛查池，不是逃税数量</t>
  </si>
  <si>
    <t>闭环标准</t>
  </si>
  <si>
    <t>原产国→第三国→中国两程用提单号/箱号/批号/数量/日期衔接；证明第三国加工不足以改变原产地；中国进口申报不实；计算少缴税款</t>
  </si>
  <si>
    <t>满足后方可形成第三国绕道实证链</t>
  </si>
  <si>
    <t>税额口径</t>
  </si>
  <si>
    <t>处罚认定额优先；平台金额只能做情景测算；不同币种不得直接相加</t>
  </si>
  <si>
    <t>所有理论值必须标明币种和‘非认定税额’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</si>
</sst>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9">
    <font>
      <sz val="11"/>
      <name val="Carlito"/>
      <charset val="134"/>
    </font>
    <font>
      <b/>
      <sz val="18"/>
      <color rgb="FFFFFFFF"/>
      <name val="Carlito"/>
      <charset val="134"/>
    </font>
    <font>
      <i/>
      <sz val="10"/>
      <color rgb="FF17365D"/>
      <name val="Carlito"/>
      <charset val="134"/>
    </font>
    <font>
      <b/>
      <sz val="11"/>
      <color rgb="FFFFFFFF"/>
      <name val="Carlito"/>
      <charset val="134"/>
    </font>
    <font>
      <sz val="11"/>
      <color rgb="FF274E13"/>
      <name val="Carlito"/>
      <charset val="134"/>
    </font>
    <font>
      <b/>
      <sz val="19"/>
      <color rgb="FF17365D"/>
      <name val="Carlito"/>
      <charset val="134"/>
    </font>
    <font>
      <sz val="9"/>
      <color rgb="FF4F6B82"/>
      <name val="Carlito"/>
      <charset val="134"/>
    </font>
    <font>
      <b/>
      <sz val="11"/>
      <color rgb="FF9C5700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1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2" borderId="4" applyNumberFormat="0" applyAlignment="0" applyProtection="0">
      <alignment vertical="center"/>
    </xf>
    <xf numFmtId="0" fontId="19" fillId="13" borderId="5" applyNumberFormat="0" applyAlignment="0" applyProtection="0">
      <alignment vertical="center"/>
    </xf>
    <xf numFmtId="0" fontId="20" fillId="13" borderId="4" applyNumberFormat="0" applyAlignment="0" applyProtection="0">
      <alignment vertical="center"/>
    </xf>
    <xf numFmtId="0" fontId="21" fillId="14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0" fillId="0" borderId="0"/>
  </cellStyleXfs>
  <cellXfs count="31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 wrapText="1"/>
    </xf>
    <xf numFmtId="0" fontId="3" fillId="2" borderId="0" xfId="49" applyNumberFormat="1" applyFont="1" applyFill="1" applyBorder="1" applyAlignment="1">
      <alignment horizontal="center" vertical="center" wrapText="1"/>
    </xf>
    <xf numFmtId="0" fontId="0" fillId="4" borderId="0" xfId="49" applyNumberFormat="1" applyFont="1" applyFill="1" applyBorder="1" applyAlignment="1">
      <alignment vertical="top" wrapText="1"/>
    </xf>
    <xf numFmtId="0" fontId="0" fillId="5" borderId="0" xfId="49" applyNumberFormat="1" applyFont="1" applyFill="1" applyBorder="1" applyAlignment="1">
      <alignment vertical="top" wrapText="1"/>
    </xf>
    <xf numFmtId="0" fontId="0" fillId="6" borderId="0" xfId="49" applyNumberFormat="1" applyFont="1" applyFill="1" applyBorder="1" applyAlignment="1">
      <alignment vertical="top" wrapText="1"/>
    </xf>
    <xf numFmtId="0" fontId="0" fillId="3" borderId="0" xfId="49" applyNumberFormat="1" applyFont="1" applyFill="1" applyBorder="1" applyAlignment="1">
      <alignment vertical="top" wrapText="1"/>
    </xf>
    <xf numFmtId="0" fontId="0" fillId="7" borderId="0" xfId="49" applyNumberFormat="1" applyFont="1" applyFill="1" applyBorder="1" applyAlignment="1">
      <alignment vertical="top" wrapText="1"/>
    </xf>
    <xf numFmtId="0" fontId="0" fillId="8" borderId="0" xfId="49" applyNumberFormat="1" applyFont="1" applyFill="1" applyBorder="1" applyAlignment="1">
      <alignment vertical="top" wrapText="1"/>
    </xf>
    <xf numFmtId="4" fontId="0" fillId="7" borderId="0" xfId="49" applyNumberFormat="1" applyFont="1" applyFill="1" applyBorder="1" applyAlignment="1">
      <alignment vertical="top" wrapText="1"/>
    </xf>
    <xf numFmtId="176" fontId="0" fillId="7" borderId="0" xfId="49" applyNumberFormat="1" applyFont="1" applyFill="1" applyBorder="1" applyAlignment="1">
      <alignment vertical="top" wrapText="1"/>
    </xf>
    <xf numFmtId="4" fontId="0" fillId="6" borderId="0" xfId="49" applyNumberFormat="1" applyFont="1" applyFill="1" applyBorder="1" applyAlignment="1">
      <alignment vertical="top" wrapText="1"/>
    </xf>
    <xf numFmtId="176" fontId="0" fillId="6" borderId="0" xfId="49" applyNumberFormat="1" applyFont="1" applyFill="1" applyBorder="1" applyAlignment="1">
      <alignment vertical="top" wrapText="1"/>
    </xf>
    <xf numFmtId="4" fontId="0" fillId="8" borderId="0" xfId="49" applyNumberFormat="1" applyFont="1" applyFill="1" applyBorder="1" applyAlignment="1">
      <alignment vertical="top" wrapText="1"/>
    </xf>
    <xf numFmtId="176" fontId="0" fillId="8" borderId="0" xfId="49" applyNumberFormat="1" applyFont="1" applyFill="1" applyBorder="1" applyAlignment="1">
      <alignment vertical="top" wrapText="1"/>
    </xf>
    <xf numFmtId="0" fontId="4" fillId="4" borderId="0" xfId="49" applyNumberFormat="1" applyFont="1" applyFill="1" applyBorder="1" applyAlignment="1">
      <alignment wrapText="1"/>
    </xf>
    <xf numFmtId="4" fontId="0" fillId="5" borderId="0" xfId="49" applyNumberFormat="1" applyFont="1" applyFill="1" applyBorder="1" applyAlignment="1">
      <alignment vertical="top" wrapText="1"/>
    </xf>
    <xf numFmtId="176" fontId="0" fillId="5" borderId="0" xfId="49" applyNumberFormat="1" applyFont="1" applyFill="1" applyBorder="1" applyAlignment="1">
      <alignment vertical="top" wrapText="1"/>
    </xf>
    <xf numFmtId="4" fontId="0" fillId="4" borderId="0" xfId="49" applyNumberFormat="1" applyFont="1" applyFill="1" applyBorder="1" applyAlignment="1">
      <alignment vertical="top" wrapText="1"/>
    </xf>
    <xf numFmtId="176" fontId="0" fillId="4" borderId="0" xfId="49" applyNumberFormat="1" applyFont="1" applyFill="1" applyBorder="1" applyAlignment="1">
      <alignment vertical="top" wrapText="1"/>
    </xf>
    <xf numFmtId="0" fontId="0" fillId="9" borderId="0" xfId="49" applyNumberFormat="1" applyFont="1" applyFill="1" applyBorder="1" applyAlignment="1">
      <alignment vertical="top" wrapText="1"/>
    </xf>
    <xf numFmtId="4" fontId="0" fillId="9" borderId="0" xfId="49" applyNumberFormat="1" applyFont="1" applyFill="1" applyBorder="1" applyAlignment="1">
      <alignment vertical="top" wrapText="1"/>
    </xf>
    <xf numFmtId="0" fontId="5" fillId="7" borderId="0" xfId="49" applyNumberFormat="1" applyFont="1" applyFill="1" applyBorder="1" applyAlignment="1">
      <alignment horizontal="center" vertical="center"/>
    </xf>
    <xf numFmtId="4" fontId="5" fillId="7" borderId="0" xfId="49" applyNumberFormat="1" applyFont="1" applyFill="1" applyBorder="1" applyAlignment="1">
      <alignment horizontal="center" vertical="center"/>
    </xf>
    <xf numFmtId="4" fontId="0" fillId="0" borderId="0" xfId="49" applyNumberFormat="1" applyFont="1" applyFill="1" applyBorder="1"/>
    <xf numFmtId="3" fontId="5" fillId="7" borderId="0" xfId="49" applyNumberFormat="1" applyFont="1" applyFill="1" applyBorder="1" applyAlignment="1">
      <alignment horizontal="center" vertical="center"/>
    </xf>
    <xf numFmtId="0" fontId="6" fillId="10" borderId="0" xfId="49" applyNumberFormat="1" applyFont="1" applyFill="1" applyBorder="1" applyAlignment="1">
      <alignment horizontal="center"/>
    </xf>
    <xf numFmtId="0" fontId="7" fillId="6" borderId="0" xfId="49" applyNumberFormat="1" applyFont="1" applyFill="1" applyBorder="1" applyAlignment="1">
      <alignment vertical="center" wrapText="1"/>
    </xf>
    <xf numFmtId="0" fontId="8" fillId="6" borderId="0" xfId="49" applyNumberFormat="1" applyFont="1" applyFill="1" applyBorder="1" applyAlignment="1">
      <alignment vertical="top" wrapText="1"/>
    </xf>
    <xf numFmtId="0" fontId="0" fillId="0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onfirmedCases" displayName="ConfirmedCases" ref="A4:T9" totalsRowShown="0">
  <tableColumns count="20">
    <tableColumn id="1" name="证据级别"/>
    <tableColumn id="2" name="日期"/>
    <tableColumn id="3" name="文书号"/>
    <tableColumn id="4" name="海关/机关"/>
    <tableColumn id="5" name="进口人"/>
    <tableColumn id="6" name="报关企业"/>
    <tableColumn id="7" name="商品"/>
    <tableColumn id="8" name="HS/申报差异"/>
    <tableColumn id="9" name="票数"/>
    <tableColumn id="10" name="数量kg"/>
    <tableColumn id="11" name="涉案/计税货值RMB"/>
    <tableColumn id="12" name="申报情况"/>
    <tableColumn id="13" name="实际/应申报"/>
    <tableColumn id="14" name="适用税率"/>
    <tableColumn id="15" name="少缴反倾销税RMB"/>
    <tableColumn id="16" name="少缴进口增值税RMB"/>
    <tableColumn id="17" name="总漏缴税款RMB"/>
    <tableColumn id="18" name="罚款RMB"/>
    <tableColumn id="19" name="手法与税种"/>
    <tableColumn id="20" name="来源与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deRiskLeads" displayName="TradeRiskLeads" ref="A4:T9" totalsRowShown="0">
  <tableColumns count="20">
    <tableColumn id="1" name="线索ID"/>
    <tableColumn id="2" name="证据等级"/>
    <tableColumn id="3" name="商品/牌号"/>
    <tableColumn id="4" name="HS及范围提醒"/>
    <tableColumn id="5" name="路线"/>
    <tableColumn id="6" name="日期"/>
    <tableColumn id="7" name="数量"/>
    <tableColumn id="8" name="单位"/>
    <tableColumn id="9" name="平台金额"/>
    <tableColumn id="10" name="币种"/>
    <tableColumn id="11" name="第一程/上游"/>
    <tableColumn id="12" name="第二程/对华"/>
    <tableColumn id="13" name="异常/匹配信号"/>
    <tableColumn id="14" name="可能少缴税种"/>
    <tableColumn id="15" name="税率/差率"/>
    <tableColumn id="16" name="理论反倾销税"/>
    <tableColumn id="17" name="理论进口增值税增量"/>
    <tableColumn id="18" name="理论合计"/>
    <tableColumn id="19" name="证据限制"/>
    <tableColumn id="20" name="来源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xScenarioCalculations" displayName="TaxScenarioCalculations" ref="A4:H10" totalsRowShown="0">
  <tableColumns count="8">
    <tableColumn id="1" name="项目"/>
    <tableColumn id="2" name="已知基数"/>
    <tableColumn id="3" name="币种"/>
    <tableColumn id="4" name="反倾销税率/差率"/>
    <tableColumn id="5" name="反倾销税/差额"/>
    <tableColumn id="6" name="进口增值税增量"/>
    <tableColumn id="7" name="合计"/>
    <tableColumn id="8" name="性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videnceRequestList" displayName="EvidenceRequestList" ref="A4:D12" totalsRowShown="0">
  <tableColumns count="4">
    <tableColumn id="1" name="数据类别"/>
    <tableColumn id="2" name="具体字段/材料"/>
    <tableColumn id="3" name="解决的问题"/>
    <tableColumn id="4" name="对应线索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showGridLines="0" workbookViewId="0">
      <selection activeCell="A13" sqref="A13:G13"/>
    </sheetView>
  </sheetViews>
  <sheetFormatPr defaultColWidth="9" defaultRowHeight="13.5" outlineLevelCol="7"/>
  <cols>
    <col min="1" max="1" width="22" customWidth="1"/>
    <col min="2" max="2" width="15" customWidth="1"/>
    <col min="3" max="3" width="13" customWidth="1"/>
    <col min="4" max="4" width="42" customWidth="1"/>
    <col min="5" max="5" width="36" customWidth="1"/>
    <col min="6" max="6" width="32" customWidth="1"/>
    <col min="7" max="7" width="42" customWidth="1"/>
    <col min="8" max="8" width="15" customWidth="1"/>
  </cols>
  <sheetData>
    <row r="1" ht="34" customHeight="1" spans="1:8">
      <c r="A1" s="1" t="s">
        <v>0</v>
      </c>
    </row>
    <row r="2" ht="30" customHeight="1" spans="1:8">
      <c r="A2" s="2" t="s">
        <v>1</v>
      </c>
    </row>
    <row r="4" ht="24" spans="1:8">
      <c r="A4" s="23">
        <f>COUNTA(已认定案件!C5:C7)</f>
        <v>3</v>
      </c>
      <c r="C4" s="24">
        <f>SUM(已认定案件!Q5:Q7)</f>
        <v>772257.6</v>
      </c>
      <c r="D4" s="25"/>
      <c r="E4" s="24">
        <f>SUM(已认定案件!R5:R7)</f>
        <v>338800</v>
      </c>
      <c r="F4" s="25"/>
      <c r="G4" s="26">
        <f>SUM(已认定案件!J5:J7)</f>
        <v>4000</v>
      </c>
    </row>
    <row r="5" spans="1:8">
      <c r="A5" s="27" t="s">
        <v>2</v>
      </c>
      <c r="B5" s="27"/>
      <c r="C5" s="27" t="s">
        <v>3</v>
      </c>
      <c r="D5" s="27"/>
      <c r="E5" s="27" t="s">
        <v>4</v>
      </c>
      <c r="F5" s="27"/>
      <c r="G5" s="27" t="s">
        <v>5</v>
      </c>
      <c r="H5" s="27"/>
    </row>
    <row r="7" ht="42" customHeight="1" spans="1:8">
      <c r="A7" s="28" t="s">
        <v>6</v>
      </c>
    </row>
    <row r="9" ht="32" customHeight="1" spans="1:8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</row>
    <row r="10" ht="27" spans="1:8">
      <c r="A10" s="5" t="s">
        <v>15</v>
      </c>
      <c r="B10" s="5" t="s">
        <v>16</v>
      </c>
      <c r="C10" s="5" t="s">
        <v>17</v>
      </c>
      <c r="D10" s="5" t="s">
        <v>18</v>
      </c>
      <c r="E10" s="5" t="s">
        <v>19</v>
      </c>
      <c r="F10" s="5" t="s">
        <v>20</v>
      </c>
      <c r="G10" s="5" t="s">
        <v>21</v>
      </c>
      <c r="H10" s="5" t="s">
        <v>22</v>
      </c>
    </row>
    <row r="11" ht="27" spans="1:8">
      <c r="A11" s="29" t="s">
        <v>23</v>
      </c>
      <c r="B11" s="6" t="s">
        <v>24</v>
      </c>
      <c r="C11" s="6" t="s">
        <v>25</v>
      </c>
      <c r="D11" s="6" t="s">
        <v>26</v>
      </c>
      <c r="E11" s="6" t="s">
        <v>27</v>
      </c>
      <c r="F11" s="6" t="s">
        <v>28</v>
      </c>
      <c r="G11" s="6" t="s">
        <v>29</v>
      </c>
      <c r="H11" s="6" t="s">
        <v>30</v>
      </c>
    </row>
    <row r="12" ht="27" spans="1:8">
      <c r="A12" s="9" t="s">
        <v>31</v>
      </c>
      <c r="B12" s="9" t="s">
        <v>32</v>
      </c>
      <c r="C12" s="9" t="s">
        <v>33</v>
      </c>
      <c r="D12" s="9" t="s">
        <v>34</v>
      </c>
      <c r="E12" s="9" t="s">
        <v>35</v>
      </c>
      <c r="F12" s="9" t="s">
        <v>36</v>
      </c>
      <c r="G12" s="9" t="s">
        <v>37</v>
      </c>
      <c r="H12" s="9" t="s">
        <v>38</v>
      </c>
    </row>
    <row r="13" ht="27" spans="1:8">
      <c r="A13" s="9" t="s">
        <v>39</v>
      </c>
      <c r="B13" s="9" t="s">
        <v>40</v>
      </c>
      <c r="C13" s="9" t="s">
        <v>33</v>
      </c>
      <c r="D13" s="9" t="s">
        <v>41</v>
      </c>
      <c r="E13" s="9" t="s">
        <v>42</v>
      </c>
      <c r="F13" s="9" t="s">
        <v>43</v>
      </c>
      <c r="G13" s="9" t="s">
        <v>37</v>
      </c>
      <c r="H13" s="9" t="s">
        <v>38</v>
      </c>
    </row>
    <row r="14" ht="27" spans="1:8">
      <c r="A14" s="30" t="s">
        <v>44</v>
      </c>
      <c r="B14" s="30" t="s">
        <v>45</v>
      </c>
      <c r="C14" s="30" t="s">
        <v>25</v>
      </c>
      <c r="D14" s="30" t="s">
        <v>46</v>
      </c>
      <c r="E14" s="30" t="s">
        <v>47</v>
      </c>
      <c r="F14" s="30" t="s">
        <v>48</v>
      </c>
      <c r="G14" s="30" t="s">
        <v>49</v>
      </c>
      <c r="H14" s="30" t="s">
        <v>50</v>
      </c>
    </row>
    <row r="16" ht="42" customHeight="1" spans="1:8">
      <c r="A16" s="16" t="s">
        <v>51</v>
      </c>
    </row>
  </sheetData>
  <mergeCells count="12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7:H7"/>
    <mergeCell ref="A16:H1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"/>
  <sheetViews>
    <sheetView showGridLines="0" workbookViewId="0">
      <selection activeCell="A1" sqref="A1:T1"/>
    </sheetView>
  </sheetViews>
  <sheetFormatPr defaultColWidth="9" defaultRowHeight="13.5"/>
  <cols>
    <col min="1" max="1" width="23" customWidth="1"/>
    <col min="2" max="2" width="17" customWidth="1"/>
    <col min="3" max="3" width="27" customWidth="1"/>
    <col min="4" max="4" width="18" customWidth="1"/>
    <col min="5" max="5" width="29" customWidth="1"/>
    <col min="6" max="6" width="27" customWidth="1"/>
    <col min="7" max="7" width="24" customWidth="1"/>
    <col min="8" max="8" width="27" customWidth="1"/>
    <col min="9" max="9" width="8" customWidth="1"/>
    <col min="10" max="10" width="12" customWidth="1"/>
    <col min="11" max="11" width="18" customWidth="1"/>
    <col min="12" max="12" width="36" customWidth="1"/>
    <col min="13" max="13" width="40" customWidth="1"/>
    <col min="14" max="14" width="28" customWidth="1"/>
    <col min="15" max="17" width="18" customWidth="1"/>
    <col min="18" max="18" width="15" customWidth="1"/>
    <col min="19" max="19" width="55" customWidth="1"/>
    <col min="20" max="20" width="70" customWidth="1"/>
  </cols>
  <sheetData>
    <row r="1" ht="34" customHeight="1" spans="1:20">
      <c r="A1" s="1" t="s">
        <v>52</v>
      </c>
    </row>
    <row r="2" ht="30" customHeight="1" spans="1:20">
      <c r="A2" s="2" t="s">
        <v>53</v>
      </c>
    </row>
    <row r="4" ht="32" customHeight="1" spans="1:20">
      <c r="A4" s="3" t="s">
        <v>54</v>
      </c>
      <c r="B4" s="3" t="s">
        <v>55</v>
      </c>
      <c r="C4" s="3" t="s">
        <v>56</v>
      </c>
      <c r="D4" s="3" t="s">
        <v>57</v>
      </c>
      <c r="E4" s="3" t="s">
        <v>58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63</v>
      </c>
      <c r="K4" s="3" t="s">
        <v>64</v>
      </c>
      <c r="L4" s="3" t="s">
        <v>65</v>
      </c>
      <c r="M4" s="3" t="s">
        <v>66</v>
      </c>
      <c r="N4" s="3" t="s">
        <v>67</v>
      </c>
      <c r="O4" s="3" t="s">
        <v>68</v>
      </c>
      <c r="P4" s="3" t="s">
        <v>69</v>
      </c>
      <c r="Q4" s="3" t="s">
        <v>70</v>
      </c>
      <c r="R4" s="3" t="s">
        <v>71</v>
      </c>
      <c r="S4" s="3" t="s">
        <v>72</v>
      </c>
      <c r="T4" s="3" t="s">
        <v>73</v>
      </c>
    </row>
    <row r="5" ht="54" spans="1:20">
      <c r="A5" s="8" t="s">
        <v>74</v>
      </c>
      <c r="B5" s="8" t="s">
        <v>75</v>
      </c>
      <c r="C5" s="8" t="s">
        <v>76</v>
      </c>
      <c r="D5" s="8" t="s">
        <v>77</v>
      </c>
      <c r="E5" s="8" t="s">
        <v>78</v>
      </c>
      <c r="F5" s="8" t="s">
        <v>79</v>
      </c>
      <c r="G5" s="8" t="s">
        <v>80</v>
      </c>
      <c r="H5" s="8" t="s">
        <v>81</v>
      </c>
      <c r="I5" s="10">
        <v>1</v>
      </c>
      <c r="J5" s="10"/>
      <c r="K5" s="10">
        <v>407077.89</v>
      </c>
      <c r="L5" s="10" t="s">
        <v>82</v>
      </c>
      <c r="M5" s="10" t="s">
        <v>83</v>
      </c>
      <c r="N5" s="10" t="s">
        <v>84</v>
      </c>
      <c r="O5" s="10"/>
      <c r="P5" s="10"/>
      <c r="Q5" s="10">
        <v>58663.29</v>
      </c>
      <c r="R5" s="10">
        <v>17600</v>
      </c>
      <c r="S5" s="8" t="s">
        <v>85</v>
      </c>
      <c r="T5" s="8" t="s">
        <v>86</v>
      </c>
    </row>
    <row r="6" ht="27" spans="1:20">
      <c r="A6" s="8" t="s">
        <v>74</v>
      </c>
      <c r="B6" s="8" t="s">
        <v>87</v>
      </c>
      <c r="C6" s="8" t="s">
        <v>88</v>
      </c>
      <c r="D6" s="8" t="s">
        <v>89</v>
      </c>
      <c r="E6" s="8" t="s">
        <v>90</v>
      </c>
      <c r="F6" s="8" t="s">
        <v>91</v>
      </c>
      <c r="G6" s="8" t="s">
        <v>92</v>
      </c>
      <c r="H6" s="8" t="s">
        <v>93</v>
      </c>
      <c r="I6" s="10">
        <v>1</v>
      </c>
      <c r="J6" s="10">
        <v>4000</v>
      </c>
      <c r="K6" s="10"/>
      <c r="L6" s="10" t="s">
        <v>94</v>
      </c>
      <c r="M6" s="10" t="s">
        <v>95</v>
      </c>
      <c r="N6" s="10" t="s">
        <v>96</v>
      </c>
      <c r="O6" s="10">
        <v>149879.24</v>
      </c>
      <c r="P6" s="10">
        <v>19484.3</v>
      </c>
      <c r="Q6" s="10">
        <v>169363.54</v>
      </c>
      <c r="R6" s="10">
        <v>76200</v>
      </c>
      <c r="S6" s="8" t="s">
        <v>97</v>
      </c>
      <c r="T6" s="8" t="s">
        <v>98</v>
      </c>
    </row>
    <row r="7" ht="40.5" spans="1:20">
      <c r="A7" s="8" t="s">
        <v>74</v>
      </c>
      <c r="B7" s="8" t="s">
        <v>99</v>
      </c>
      <c r="C7" s="8" t="s">
        <v>100</v>
      </c>
      <c r="D7" s="8" t="s">
        <v>101</v>
      </c>
      <c r="E7" s="8" t="s">
        <v>102</v>
      </c>
      <c r="F7" s="8" t="s">
        <v>91</v>
      </c>
      <c r="G7" s="8" t="s">
        <v>103</v>
      </c>
      <c r="H7" s="8" t="s">
        <v>104</v>
      </c>
      <c r="I7" s="10">
        <v>2</v>
      </c>
      <c r="J7" s="10"/>
      <c r="K7" s="10">
        <v>2389451.03</v>
      </c>
      <c r="L7" s="10" t="s">
        <v>105</v>
      </c>
      <c r="M7" s="10" t="s">
        <v>106</v>
      </c>
      <c r="N7" s="10" t="s">
        <v>107</v>
      </c>
      <c r="O7" s="10"/>
      <c r="P7" s="10"/>
      <c r="Q7" s="10">
        <v>544230.77</v>
      </c>
      <c r="R7" s="10">
        <v>245000</v>
      </c>
      <c r="S7" s="8" t="s">
        <v>108</v>
      </c>
      <c r="T7" s="8" t="s">
        <v>109</v>
      </c>
    </row>
    <row r="8" ht="40.5" spans="1:20">
      <c r="A8" s="21" t="s">
        <v>110</v>
      </c>
      <c r="B8" s="21" t="s">
        <v>111</v>
      </c>
      <c r="C8" s="21" t="s">
        <v>112</v>
      </c>
      <c r="D8" s="21" t="s">
        <v>113</v>
      </c>
      <c r="E8" s="21" t="s">
        <v>114</v>
      </c>
      <c r="F8" s="21" t="s">
        <v>115</v>
      </c>
      <c r="G8" s="21" t="s">
        <v>116</v>
      </c>
      <c r="H8" s="21" t="s">
        <v>117</v>
      </c>
      <c r="I8" s="22"/>
      <c r="J8" s="22"/>
      <c r="K8" s="22"/>
      <c r="L8" s="22" t="s">
        <v>118</v>
      </c>
      <c r="M8" s="22" t="s">
        <v>119</v>
      </c>
      <c r="N8" s="22" t="s">
        <v>117</v>
      </c>
      <c r="O8" s="22"/>
      <c r="P8" s="22"/>
      <c r="Q8" s="22">
        <v>3800000</v>
      </c>
      <c r="R8" s="22">
        <v>3810000</v>
      </c>
      <c r="S8" s="21" t="s">
        <v>120</v>
      </c>
      <c r="T8" s="21" t="s">
        <v>121</v>
      </c>
    </row>
    <row r="9" ht="27" spans="1:20">
      <c r="A9" s="21" t="s">
        <v>122</v>
      </c>
      <c r="B9" s="21" t="s">
        <v>123</v>
      </c>
      <c r="C9" s="21" t="s">
        <v>124</v>
      </c>
      <c r="D9" s="21" t="s">
        <v>125</v>
      </c>
      <c r="E9" s="21" t="s">
        <v>114</v>
      </c>
      <c r="F9" s="21" t="s">
        <v>115</v>
      </c>
      <c r="G9" s="21" t="s">
        <v>126</v>
      </c>
      <c r="H9" s="21" t="s">
        <v>117</v>
      </c>
      <c r="I9" s="22">
        <v>2</v>
      </c>
      <c r="J9" s="22">
        <v>27000</v>
      </c>
      <c r="K9" s="22"/>
      <c r="L9" s="22" t="s">
        <v>127</v>
      </c>
      <c r="M9" s="22" t="s">
        <v>128</v>
      </c>
      <c r="N9" s="22" t="s">
        <v>129</v>
      </c>
      <c r="O9" s="22"/>
      <c r="P9" s="22"/>
      <c r="Q9" s="22">
        <v>196000</v>
      </c>
      <c r="R9" s="22">
        <v>110000</v>
      </c>
      <c r="S9" s="21" t="s">
        <v>130</v>
      </c>
      <c r="T9" s="21" t="s">
        <v>131</v>
      </c>
    </row>
  </sheetData>
  <mergeCells count="2">
    <mergeCell ref="A1:T1"/>
    <mergeCell ref="A2:T2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"/>
  <sheetViews>
    <sheetView showGridLines="0" tabSelected="1" workbookViewId="0">
      <selection activeCell="A1" sqref="A1:V1"/>
    </sheetView>
  </sheetViews>
  <sheetFormatPr defaultColWidth="9" defaultRowHeight="13.5"/>
  <cols>
    <col min="1" max="1" width="23" customWidth="1"/>
    <col min="2" max="2" width="24" customWidth="1"/>
    <col min="3" max="3" width="32" customWidth="1"/>
    <col min="4" max="4" width="35" customWidth="1"/>
    <col min="5" max="5" width="20" customWidth="1"/>
    <col min="6" max="6" width="22" customWidth="1"/>
    <col min="7" max="7" width="14" customWidth="1"/>
    <col min="8" max="8" width="16" customWidth="1"/>
    <col min="9" max="9" width="18" customWidth="1"/>
    <col min="10" max="10" width="16" customWidth="1"/>
    <col min="11" max="12" width="55" customWidth="1"/>
    <col min="13" max="14" width="48" customWidth="1"/>
    <col min="15" max="15" width="13" customWidth="1"/>
    <col min="16" max="16" width="18" customWidth="1"/>
    <col min="17" max="17" width="20" customWidth="1"/>
    <col min="18" max="18" width="18" customWidth="1"/>
    <col min="19" max="19" width="55" customWidth="1"/>
    <col min="20" max="20" width="65" customWidth="1"/>
  </cols>
  <sheetData>
    <row r="1" ht="34" customHeight="1" spans="1:20">
      <c r="A1" s="1" t="s">
        <v>132</v>
      </c>
    </row>
    <row r="2" ht="30" customHeight="1" spans="1:20">
      <c r="A2" s="2" t="s">
        <v>133</v>
      </c>
    </row>
    <row r="4" ht="32" customHeight="1" spans="1:20">
      <c r="A4" s="3" t="s">
        <v>134</v>
      </c>
      <c r="B4" s="3" t="s">
        <v>135</v>
      </c>
      <c r="C4" s="3" t="s">
        <v>136</v>
      </c>
      <c r="D4" s="3" t="s">
        <v>137</v>
      </c>
      <c r="E4" s="3" t="s">
        <v>138</v>
      </c>
      <c r="F4" s="3" t="s">
        <v>55</v>
      </c>
      <c r="G4" s="3" t="s">
        <v>139</v>
      </c>
      <c r="H4" s="3" t="s">
        <v>140</v>
      </c>
      <c r="I4" s="3" t="s">
        <v>141</v>
      </c>
      <c r="J4" s="3" t="s">
        <v>142</v>
      </c>
      <c r="K4" s="3" t="s">
        <v>143</v>
      </c>
      <c r="L4" s="3" t="s">
        <v>144</v>
      </c>
      <c r="M4" s="3" t="s">
        <v>145</v>
      </c>
      <c r="N4" s="3" t="s">
        <v>11</v>
      </c>
      <c r="O4" s="3" t="s">
        <v>146</v>
      </c>
      <c r="P4" s="3" t="s">
        <v>147</v>
      </c>
      <c r="Q4" s="3" t="s">
        <v>148</v>
      </c>
      <c r="R4" s="3" t="s">
        <v>149</v>
      </c>
      <c r="S4" s="3" t="s">
        <v>150</v>
      </c>
      <c r="T4" s="3" t="s">
        <v>151</v>
      </c>
    </row>
    <row r="5" ht="40.5" spans="1:20">
      <c r="A5" s="5" t="s">
        <v>152</v>
      </c>
      <c r="B5" s="5" t="s">
        <v>153</v>
      </c>
      <c r="C5" s="5" t="s">
        <v>154</v>
      </c>
      <c r="D5" s="5" t="s">
        <v>155</v>
      </c>
      <c r="E5" s="5" t="s">
        <v>156</v>
      </c>
      <c r="F5" s="5" t="s">
        <v>157</v>
      </c>
      <c r="G5" s="17">
        <v>25</v>
      </c>
      <c r="H5" s="5" t="s">
        <v>158</v>
      </c>
      <c r="I5" s="17">
        <v>4774382.5</v>
      </c>
      <c r="J5" s="5" t="s">
        <v>159</v>
      </c>
      <c r="K5" s="5" t="s">
        <v>160</v>
      </c>
      <c r="L5" s="5" t="s">
        <v>161</v>
      </c>
      <c r="M5" s="5" t="s">
        <v>162</v>
      </c>
      <c r="N5" s="5" t="s">
        <v>163</v>
      </c>
      <c r="O5" s="18">
        <v>0.345</v>
      </c>
      <c r="P5" s="17">
        <f>IF(OR(I5="",O5=""),"",I5*O5)</f>
        <v>1647161.9625</v>
      </c>
      <c r="Q5" s="17">
        <f>IF(P5="","",P5*13%)</f>
        <v>214131.055125</v>
      </c>
      <c r="R5" s="17">
        <f>IF(P5="","",P5+Q5)</f>
        <v>1861293.017625</v>
      </c>
      <c r="S5" s="5" t="s">
        <v>164</v>
      </c>
      <c r="T5" s="5" t="s">
        <v>165</v>
      </c>
    </row>
    <row r="6" ht="40.5" spans="1:20">
      <c r="A6" s="6" t="s">
        <v>166</v>
      </c>
      <c r="B6" s="6" t="s">
        <v>167</v>
      </c>
      <c r="C6" s="6" t="s">
        <v>168</v>
      </c>
      <c r="D6" s="6" t="s">
        <v>169</v>
      </c>
      <c r="E6" s="6" t="s">
        <v>170</v>
      </c>
      <c r="F6" s="6" t="s">
        <v>171</v>
      </c>
      <c r="G6" s="12">
        <v>738620</v>
      </c>
      <c r="H6" s="6" t="s">
        <v>172</v>
      </c>
      <c r="I6" s="12">
        <v>98781668980</v>
      </c>
      <c r="J6" s="6" t="s">
        <v>159</v>
      </c>
      <c r="K6" s="6" t="s">
        <v>173</v>
      </c>
      <c r="L6" s="6" t="s">
        <v>174</v>
      </c>
      <c r="M6" s="6" t="s">
        <v>175</v>
      </c>
      <c r="N6" s="6" t="s">
        <v>176</v>
      </c>
      <c r="O6" s="13">
        <v>0.307</v>
      </c>
      <c r="P6" s="12">
        <f>IF(OR(I6="",O6=""),"",I6*O6)</f>
        <v>30325972376.86</v>
      </c>
      <c r="Q6" s="12">
        <f>IF(P6="","",P6*13%)</f>
        <v>3942376408.9918</v>
      </c>
      <c r="R6" s="12">
        <f>IF(P6="","",P6+Q6)</f>
        <v>34268348785.8518</v>
      </c>
      <c r="S6" s="6" t="s">
        <v>177</v>
      </c>
      <c r="T6" s="6" t="s">
        <v>178</v>
      </c>
    </row>
    <row r="7" ht="40.5" spans="1:20">
      <c r="A7" s="9" t="s">
        <v>179</v>
      </c>
      <c r="B7" s="9" t="s">
        <v>180</v>
      </c>
      <c r="C7" s="9" t="s">
        <v>181</v>
      </c>
      <c r="D7" s="9" t="s">
        <v>182</v>
      </c>
      <c r="E7" s="9" t="s">
        <v>183</v>
      </c>
      <c r="F7" s="9" t="s">
        <v>184</v>
      </c>
      <c r="G7" s="14">
        <v>32000</v>
      </c>
      <c r="H7" s="9" t="s">
        <v>185</v>
      </c>
      <c r="I7" s="14">
        <v>191200</v>
      </c>
      <c r="J7" s="9" t="s">
        <v>186</v>
      </c>
      <c r="K7" s="9" t="s">
        <v>115</v>
      </c>
      <c r="L7" s="9" t="s">
        <v>187</v>
      </c>
      <c r="M7" s="9" t="s">
        <v>188</v>
      </c>
      <c r="N7" s="9" t="s">
        <v>189</v>
      </c>
      <c r="O7" s="15">
        <v>0.484</v>
      </c>
      <c r="P7" s="14">
        <f>IF(OR(I7="",O7=""),"",I7*O7)</f>
        <v>92540.8</v>
      </c>
      <c r="Q7" s="14">
        <f>IF(P7="","",P7*13%)</f>
        <v>12030.304</v>
      </c>
      <c r="R7" s="14">
        <f>IF(P7="","",P7+Q7)</f>
        <v>104571.104</v>
      </c>
      <c r="S7" s="9" t="s">
        <v>190</v>
      </c>
      <c r="T7" s="9" t="s">
        <v>191</v>
      </c>
    </row>
    <row r="8" ht="40.5" spans="1:20">
      <c r="A8" s="9" t="s">
        <v>192</v>
      </c>
      <c r="B8" s="9" t="s">
        <v>180</v>
      </c>
      <c r="C8" s="9" t="s">
        <v>181</v>
      </c>
      <c r="D8" s="9" t="s">
        <v>193</v>
      </c>
      <c r="E8" s="9" t="s">
        <v>183</v>
      </c>
      <c r="F8" s="9" t="s">
        <v>194</v>
      </c>
      <c r="G8" s="14">
        <v>36000</v>
      </c>
      <c r="H8" s="9" t="s">
        <v>195</v>
      </c>
      <c r="I8" s="14">
        <v>201600</v>
      </c>
      <c r="J8" s="9" t="s">
        <v>186</v>
      </c>
      <c r="K8" s="9" t="s">
        <v>115</v>
      </c>
      <c r="L8" s="9" t="s">
        <v>196</v>
      </c>
      <c r="M8" s="9" t="s">
        <v>197</v>
      </c>
      <c r="N8" s="9" t="s">
        <v>198</v>
      </c>
      <c r="O8" s="15">
        <v>0.62</v>
      </c>
      <c r="P8" s="14">
        <f>IF(OR(I8="",O8=""),"",I8*O8)</f>
        <v>124992</v>
      </c>
      <c r="Q8" s="14">
        <f>IF(P8="","",P8*13%)</f>
        <v>16248.96</v>
      </c>
      <c r="R8" s="14">
        <f>IF(P8="","",P8+Q8)</f>
        <v>141240.96</v>
      </c>
      <c r="S8" s="9" t="s">
        <v>199</v>
      </c>
      <c r="T8" s="9" t="s">
        <v>191</v>
      </c>
    </row>
    <row r="9" ht="40.5" spans="1:20">
      <c r="A9" s="4" t="s">
        <v>200</v>
      </c>
      <c r="B9" s="4" t="s">
        <v>201</v>
      </c>
      <c r="C9" s="4" t="s">
        <v>202</v>
      </c>
      <c r="D9" s="4" t="s">
        <v>203</v>
      </c>
      <c r="E9" s="4" t="s">
        <v>204</v>
      </c>
      <c r="F9" s="4" t="s">
        <v>205</v>
      </c>
      <c r="G9" s="19">
        <v>993.4</v>
      </c>
      <c r="H9" s="4" t="s">
        <v>206</v>
      </c>
      <c r="I9" s="19"/>
      <c r="J9" s="4" t="s">
        <v>115</v>
      </c>
      <c r="K9" s="4" t="s">
        <v>115</v>
      </c>
      <c r="L9" s="4" t="s">
        <v>207</v>
      </c>
      <c r="M9" s="4" t="s">
        <v>208</v>
      </c>
      <c r="N9" s="4" t="s">
        <v>209</v>
      </c>
      <c r="O9" s="20">
        <v>0.199</v>
      </c>
      <c r="P9" s="19" t="str">
        <f>IF(OR(I9="",O9=""),"",I9*O9)</f>
        <v/>
      </c>
      <c r="Q9" s="19" t="str">
        <f>IF(P9="","",P9*13%)</f>
        <v/>
      </c>
      <c r="R9" s="19" t="str">
        <f>IF(P9="","",P9+Q9)</f>
        <v/>
      </c>
      <c r="S9" s="4" t="s">
        <v>210</v>
      </c>
      <c r="T9" s="4" t="s">
        <v>211</v>
      </c>
    </row>
  </sheetData>
  <mergeCells count="2">
    <mergeCell ref="A1:V1"/>
    <mergeCell ref="A2:V2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showGridLines="0" workbookViewId="0">
      <selection activeCell="A1" sqref="A1:H1"/>
    </sheetView>
  </sheetViews>
  <sheetFormatPr defaultColWidth="9" defaultRowHeight="13.5" outlineLevelCol="7"/>
  <cols>
    <col min="1" max="1" width="34" customWidth="1"/>
    <col min="2" max="2" width="20" customWidth="1"/>
    <col min="3" max="3" width="24" customWidth="1"/>
    <col min="4" max="4" width="20" customWidth="1"/>
    <col min="5" max="7" width="22" customWidth="1"/>
    <col min="8" max="8" width="55" customWidth="1"/>
  </cols>
  <sheetData>
    <row r="1" ht="34" customHeight="1" spans="1:8">
      <c r="A1" s="1" t="s">
        <v>212</v>
      </c>
    </row>
    <row r="2" ht="30" customHeight="1" spans="1:8">
      <c r="A2" s="2" t="s">
        <v>213</v>
      </c>
    </row>
    <row r="4" ht="32" customHeight="1" spans="1:8">
      <c r="A4" s="3" t="s">
        <v>214</v>
      </c>
      <c r="B4" s="3" t="s">
        <v>215</v>
      </c>
      <c r="C4" s="3" t="s">
        <v>142</v>
      </c>
      <c r="D4" s="3" t="s">
        <v>216</v>
      </c>
      <c r="E4" s="3" t="s">
        <v>217</v>
      </c>
      <c r="F4" s="3" t="s">
        <v>218</v>
      </c>
      <c r="G4" s="3" t="s">
        <v>219</v>
      </c>
      <c r="H4" s="3" t="s">
        <v>220</v>
      </c>
    </row>
    <row r="5" spans="1:8">
      <c r="A5" s="8" t="s">
        <v>221</v>
      </c>
      <c r="B5" s="10">
        <v>68000</v>
      </c>
      <c r="C5" s="8" t="s">
        <v>222</v>
      </c>
      <c r="D5" s="11">
        <v>0.307</v>
      </c>
      <c r="E5" s="10">
        <v>149879.24</v>
      </c>
      <c r="F5" s="10">
        <v>19484.3</v>
      </c>
      <c r="G5" s="10">
        <v>169363.54</v>
      </c>
      <c r="H5" s="8" t="s">
        <v>223</v>
      </c>
    </row>
    <row r="6" spans="1:8">
      <c r="A6" s="6" t="s">
        <v>224</v>
      </c>
      <c r="B6" s="12">
        <v>2389451.03</v>
      </c>
      <c r="C6" s="6" t="s">
        <v>225</v>
      </c>
      <c r="D6" s="13">
        <v>0.199</v>
      </c>
      <c r="E6" s="12">
        <f>B6*D6</f>
        <v>475500.75497</v>
      </c>
      <c r="F6" s="12">
        <f>E6*13%</f>
        <v>61815.0981461</v>
      </c>
      <c r="G6" s="12">
        <f>E6+F6</f>
        <v>537315.8531161</v>
      </c>
      <c r="H6" s="6" t="s">
        <v>226</v>
      </c>
    </row>
    <row r="7" spans="1:8">
      <c r="A7" s="9" t="s">
        <v>227</v>
      </c>
      <c r="B7" s="14">
        <v>4774382.5</v>
      </c>
      <c r="C7" s="9" t="s">
        <v>228</v>
      </c>
      <c r="D7" s="15">
        <v>0.345</v>
      </c>
      <c r="E7" s="14">
        <f>B7*D7</f>
        <v>1647161.9625</v>
      </c>
      <c r="F7" s="14">
        <f>E7*13%</f>
        <v>214131.055125</v>
      </c>
      <c r="G7" s="14">
        <f>E7+F7</f>
        <v>1861293.017625</v>
      </c>
      <c r="H7" s="9" t="s">
        <v>229</v>
      </c>
    </row>
    <row r="8" spans="1:8">
      <c r="A8" s="9" t="s">
        <v>230</v>
      </c>
      <c r="B8" s="14">
        <v>98781668980</v>
      </c>
      <c r="C8" s="9" t="s">
        <v>228</v>
      </c>
      <c r="D8" s="15">
        <v>0.307</v>
      </c>
      <c r="E8" s="14">
        <f>B8*D8</f>
        <v>30325972376.86</v>
      </c>
      <c r="F8" s="14">
        <f>E8*13%</f>
        <v>3942376408.9918</v>
      </c>
      <c r="G8" s="14">
        <f>E8+F8</f>
        <v>34268348785.8518</v>
      </c>
      <c r="H8" s="9" t="s">
        <v>231</v>
      </c>
    </row>
    <row r="9" spans="1:8">
      <c r="A9" s="9" t="s">
        <v>232</v>
      </c>
      <c r="B9" s="14">
        <v>191200</v>
      </c>
      <c r="C9" s="9" t="s">
        <v>233</v>
      </c>
      <c r="D9" s="15">
        <v>0.484</v>
      </c>
      <c r="E9" s="14">
        <f>B9*D9</f>
        <v>92540.8</v>
      </c>
      <c r="F9" s="14">
        <f>E9*13%</f>
        <v>12030.304</v>
      </c>
      <c r="G9" s="14">
        <f>E9+F9</f>
        <v>104571.104</v>
      </c>
      <c r="H9" s="9" t="s">
        <v>234</v>
      </c>
    </row>
    <row r="10" spans="1:8">
      <c r="A10" s="9" t="s">
        <v>235</v>
      </c>
      <c r="B10" s="14">
        <v>201600</v>
      </c>
      <c r="C10" s="9" t="s">
        <v>233</v>
      </c>
      <c r="D10" s="15">
        <v>0.62</v>
      </c>
      <c r="E10" s="14">
        <f>B10*D10</f>
        <v>124992</v>
      </c>
      <c r="F10" s="14">
        <f>E10*13%</f>
        <v>16248.96</v>
      </c>
      <c r="G10" s="14">
        <f>E10+F10</f>
        <v>141240.96</v>
      </c>
      <c r="H10" s="9" t="s">
        <v>234</v>
      </c>
    </row>
    <row r="12" ht="40" customHeight="1" spans="1:8">
      <c r="A12" s="16" t="s">
        <v>236</v>
      </c>
    </row>
  </sheetData>
  <mergeCells count="3">
    <mergeCell ref="A1:H1"/>
    <mergeCell ref="A2:H2"/>
    <mergeCell ref="A12:H12"/>
  </mergeCell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showGridLines="0" workbookViewId="0">
      <selection activeCell="A1" sqref="A1:D1"/>
    </sheetView>
  </sheetViews>
  <sheetFormatPr defaultColWidth="9" defaultRowHeight="13.5" outlineLevelCol="3"/>
  <cols>
    <col min="1" max="1" width="24" customWidth="1"/>
    <col min="2" max="2" width="75" customWidth="1"/>
    <col min="3" max="3" width="65" customWidth="1"/>
    <col min="4" max="4" width="18" customWidth="1"/>
  </cols>
  <sheetData>
    <row r="1" ht="34" customHeight="1" spans="1:4">
      <c r="A1" s="1" t="s">
        <v>237</v>
      </c>
    </row>
    <row r="2" ht="30" customHeight="1" spans="1:4">
      <c r="A2" s="2" t="s">
        <v>238</v>
      </c>
    </row>
    <row r="4" ht="32" customHeight="1" spans="1:4">
      <c r="A4" s="3" t="s">
        <v>239</v>
      </c>
      <c r="B4" s="3" t="s">
        <v>240</v>
      </c>
      <c r="C4" s="3" t="s">
        <v>241</v>
      </c>
      <c r="D4" s="3" t="s">
        <v>242</v>
      </c>
    </row>
    <row r="5" ht="27" spans="1:4">
      <c r="A5" s="8" t="s">
        <v>243</v>
      </c>
      <c r="B5" s="8" t="s">
        <v>244</v>
      </c>
      <c r="C5" s="8" t="s">
        <v>245</v>
      </c>
      <c r="D5" s="8" t="s">
        <v>246</v>
      </c>
    </row>
    <row r="6" ht="27" spans="1:4">
      <c r="A6" s="8" t="s">
        <v>247</v>
      </c>
      <c r="B6" s="8" t="s">
        <v>248</v>
      </c>
      <c r="C6" s="8" t="s">
        <v>249</v>
      </c>
      <c r="D6" s="8" t="s">
        <v>246</v>
      </c>
    </row>
    <row r="7" ht="27" spans="1:4">
      <c r="A7" s="8" t="s">
        <v>250</v>
      </c>
      <c r="B7" s="8" t="s">
        <v>251</v>
      </c>
      <c r="C7" s="8" t="s">
        <v>252</v>
      </c>
      <c r="D7" s="8" t="s">
        <v>246</v>
      </c>
    </row>
    <row r="8" spans="1:4">
      <c r="A8" s="8" t="s">
        <v>253</v>
      </c>
      <c r="B8" s="8" t="s">
        <v>254</v>
      </c>
      <c r="C8" s="8" t="s">
        <v>255</v>
      </c>
      <c r="D8" s="8" t="s">
        <v>246</v>
      </c>
    </row>
    <row r="9" spans="1:4">
      <c r="A9" s="8" t="s">
        <v>256</v>
      </c>
      <c r="B9" s="8" t="s">
        <v>257</v>
      </c>
      <c r="C9" s="8" t="s">
        <v>258</v>
      </c>
      <c r="D9" s="8" t="s">
        <v>246</v>
      </c>
    </row>
    <row r="10" ht="27" spans="1:4">
      <c r="A10" s="9" t="s">
        <v>259</v>
      </c>
      <c r="B10" s="9" t="s">
        <v>260</v>
      </c>
      <c r="C10" s="9" t="s">
        <v>261</v>
      </c>
      <c r="D10" s="9" t="s">
        <v>262</v>
      </c>
    </row>
    <row r="11" ht="27" spans="1:4">
      <c r="A11" s="9" t="s">
        <v>263</v>
      </c>
      <c r="B11" s="9" t="s">
        <v>264</v>
      </c>
      <c r="C11" s="9" t="s">
        <v>265</v>
      </c>
      <c r="D11" s="9" t="s">
        <v>266</v>
      </c>
    </row>
    <row r="12" ht="27" spans="1:4">
      <c r="A12" s="9" t="s">
        <v>267</v>
      </c>
      <c r="B12" s="9" t="s">
        <v>268</v>
      </c>
      <c r="C12" s="9" t="s">
        <v>269</v>
      </c>
      <c r="D12" s="9" t="s">
        <v>270</v>
      </c>
    </row>
  </sheetData>
  <mergeCells count="2">
    <mergeCell ref="A1:D1"/>
    <mergeCell ref="A2:D2"/>
  </mergeCell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showGridLines="0" workbookViewId="0">
      <selection activeCell="A1" sqref="A1:C1"/>
    </sheetView>
  </sheetViews>
  <sheetFormatPr defaultColWidth="9" defaultRowHeight="13.5" outlineLevelCol="2"/>
  <cols>
    <col min="1" max="1" width="20" customWidth="1"/>
    <col min="2" max="2" width="65" customWidth="1"/>
    <col min="3" max="3" width="70" customWidth="1"/>
  </cols>
  <sheetData>
    <row r="1" ht="34" customHeight="1" spans="1:3">
      <c r="A1" s="1" t="s">
        <v>271</v>
      </c>
    </row>
    <row r="2" ht="30" customHeight="1" spans="1:3">
      <c r="A2" s="2" t="s">
        <v>272</v>
      </c>
    </row>
    <row r="4" ht="32" customHeight="1" spans="1:3">
      <c r="A4" s="3" t="s">
        <v>273</v>
      </c>
      <c r="B4" s="3" t="s">
        <v>274</v>
      </c>
      <c r="C4" s="3" t="s">
        <v>275</v>
      </c>
    </row>
    <row r="5" spans="1:3">
      <c r="A5" s="4" t="s">
        <v>276</v>
      </c>
      <c r="B5" s="4" t="s">
        <v>277</v>
      </c>
      <c r="C5" s="4" t="s">
        <v>278</v>
      </c>
    </row>
    <row r="6" spans="1:3">
      <c r="A6" s="5" t="s">
        <v>33</v>
      </c>
      <c r="B6" s="5" t="s">
        <v>279</v>
      </c>
      <c r="C6" s="5" t="s">
        <v>280</v>
      </c>
    </row>
    <row r="7" spans="1:3">
      <c r="A7" s="5" t="s">
        <v>17</v>
      </c>
      <c r="B7" s="5" t="s">
        <v>281</v>
      </c>
      <c r="C7" s="5" t="s">
        <v>282</v>
      </c>
    </row>
    <row r="8" spans="1:3">
      <c r="A8" s="6" t="s">
        <v>25</v>
      </c>
      <c r="B8" s="6" t="s">
        <v>283</v>
      </c>
      <c r="C8" s="6" t="s">
        <v>284</v>
      </c>
    </row>
    <row r="9" ht="27" spans="1:3">
      <c r="A9" s="7" t="s">
        <v>285</v>
      </c>
      <c r="B9" s="7" t="s">
        <v>286</v>
      </c>
      <c r="C9" s="7" t="s">
        <v>287</v>
      </c>
    </row>
    <row r="10" spans="1:3">
      <c r="A10" s="7" t="s">
        <v>288</v>
      </c>
      <c r="B10" s="7" t="s">
        <v>289</v>
      </c>
      <c r="C10" s="7" t="s">
        <v>290</v>
      </c>
    </row>
  </sheetData>
  <mergeCells count="2">
    <mergeCell ref="A1:C1"/>
    <mergeCell ref="A2:C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结论总览</vt:lpstr>
      <vt:lpstr>已认定案件</vt:lpstr>
      <vt:lpstr>易迅风险线索</vt:lpstr>
      <vt:lpstr>税额拆分与口径</vt:lpstr>
      <vt:lpstr>调证清单</vt:lpstr>
      <vt:lpstr>证据分级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落花吹雪</cp:lastModifiedBy>
  <dcterms:created xsi:type="dcterms:W3CDTF">2026-08-10T08:54:38Z</dcterms:created>
  <dcterms:modified xsi:type="dcterms:W3CDTF">2026-08-10T12:33:03Z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65BCE181B857439D93DA240E7C19C909_12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