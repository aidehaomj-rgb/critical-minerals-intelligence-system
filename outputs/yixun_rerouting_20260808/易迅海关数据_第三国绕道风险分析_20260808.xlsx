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风险总览" sheetId="1" r:id="rId1"/>
    <sheet name="高风险线索" sheetId="2" r:id="rId2"/>
    <sheet name="原始明细" sheetId="3" r:id="rId3"/>
    <sheet name="查询汇总" sheetId="4" r:id="rId4"/>
    <sheet name="核查规则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<sst xmlns="http://schemas.openxmlformats.org/spreadsheetml/2006/main" count="1186" uniqueCount="453">
  <si>
    <t>易迅海关数据｜第三国绕道风险核查</t>
  </si>
  <si>
    <t>查询日：2026-08-08（CST）｜逐票样本仅用于风险筛查，不构成对相关企业违法行为的认定</t>
  </si>
  <si>
    <t>已固化逐票记录</t>
  </si>
  <si>
    <t>目的地为中国</t>
  </si>
  <si>
    <t>A/A-级调单线索</t>
  </si>
  <si>
    <t>含品牌/批次字段</t>
  </si>
  <si>
    <t>核心判断：已找到可具体调单的企业和货物记录，但尚未形成同一批货物‘原产国→第三国→中国’的完整证据闭环。</t>
  </si>
  <si>
    <t>商品</t>
  </si>
  <si>
    <t>已见路径</t>
  </si>
  <si>
    <t>闭环状态</t>
  </si>
  <si>
    <t>具体证据</t>
  </si>
  <si>
    <t>决定性缺口</t>
  </si>
  <si>
    <t>优先级</t>
  </si>
  <si>
    <t>氯氰菊酯</t>
  </si>
  <si>
    <t>印度→中国直达</t>
  </si>
  <si>
    <t>未发现第三国第二程</t>
  </si>
  <si>
    <t>精确CAS、纯度、生产商；多票16–36吨</t>
  </si>
  <si>
    <t>中国进口申报税号/涉税厂商/完税证明</t>
  </si>
  <si>
    <t>最高</t>
  </si>
  <si>
    <t>聚苯硫醚（PPS）</t>
  </si>
  <si>
    <t>美国→印度；印尼/印度→中国小票</t>
  </si>
  <si>
    <t>存在第一程及小票第二程，但未同批次闭环</t>
  </si>
  <si>
    <t>RYTON批次号；FORTRON/DURAFIDE跨HS</t>
  </si>
  <si>
    <t>配方、批次、原产地证、加工增值</t>
  </si>
  <si>
    <t>高</t>
  </si>
  <si>
    <t>共聚聚甲醛（POM）</t>
  </si>
  <si>
    <t>印度→新加坡；越南→中国</t>
  </si>
  <si>
    <t>越南记录出现德国标记与越南原产地冲突</t>
  </si>
  <si>
    <t>HOSTAFORM牌号/批次；#&amp;DE</t>
  </si>
  <si>
    <t>中越双边申报、原产地证、工厂加工记录</t>
  </si>
  <si>
    <t>豌豆淀粉</t>
  </si>
  <si>
    <t>加拿大→香港/新加坡/越南</t>
  </si>
  <si>
    <t>贸易商节点成立，现有申报保留加拿大原产</t>
  </si>
  <si>
    <t>N-735精确牌号、加拿大生产商</t>
  </si>
  <si>
    <t>措施后中国第二程、提单号/批次匹配</t>
  </si>
  <si>
    <t>中高</t>
  </si>
  <si>
    <t>总体</t>
  </si>
  <si>
    <t>多条可核查供应链</t>
  </si>
  <si>
    <t>未形成‘原产国→第三国→中国’同批次完整闭环</t>
  </si>
  <si>
    <t>已定位企业、牌号、批次和异常HS</t>
  </si>
  <si>
    <t>调取中国海关底单与原产地单证是决定性一步</t>
  </si>
  <si>
    <t>结论</t>
  </si>
  <si>
    <t>使用口径：第三国供应商、贸易商或第一程物流本身不等于规避；必须结合原产地证、加工工序、批次/提单匹配及中国进口申报。</t>
  </si>
  <si>
    <t>高风险逐票线索与调单动作</t>
  </si>
  <si>
    <t>A/A-代表‘优先核查’，并非违法结论；对样品、零件、改性料和重复收录须先去伪存真</t>
  </si>
  <si>
    <t>记录ID</t>
  </si>
  <si>
    <t>商品方向</t>
  </si>
  <si>
    <t>日期</t>
  </si>
  <si>
    <t>境外供应商</t>
  </si>
  <si>
    <t>中国/目的地买方</t>
  </si>
  <si>
    <t>路线</t>
  </si>
  <si>
    <t>HS编码</t>
  </si>
  <si>
    <t>关键商品描述</t>
  </si>
  <si>
    <t>数量</t>
  </si>
  <si>
    <t>金额</t>
  </si>
  <si>
    <t>证据等级</t>
  </si>
  <si>
    <t>风险判断</t>
  </si>
  <si>
    <t>下一步核查</t>
  </si>
  <si>
    <t>CYP-CN-001</t>
  </si>
  <si>
    <t>CYPERMETHRIN TECHNICAL→China</t>
  </si>
  <si>
    <t>2026-02-28</t>
  </si>
  <si>
    <t>TAGROS CHEMICALS INDIA PRIVATE LIMITED</t>
  </si>
  <si>
    <t>IPO LTD SHNGHAI</t>
  </si>
  <si>
    <t>India→China</t>
  </si>
  <si>
    <t>38089135</t>
  </si>
  <si>
    <t>CYPERMETHRIN TECHNICAL CAS NO 52315 07 8 CYPERMETHRIN 92% 40 60</t>
  </si>
  <si>
    <t>A</t>
  </si>
  <si>
    <t>商品、CAS、纯度、涉税生产商均匹配；平台为印度出口记录，须调中国进口报关单</t>
  </si>
  <si>
    <t>调取中国进口报关单、原产地证、税款缴款书，核执行税号2926909013及涉税厂商</t>
  </si>
  <si>
    <t>CYP-CN-003</t>
  </si>
  <si>
    <t>2026-02-23</t>
  </si>
  <si>
    <t>CYPERMETHRIN TECHNICAL</t>
  </si>
  <si>
    <t>与2月28日字段高度重复，可能一票多日期或重复收录</t>
  </si>
  <si>
    <t>CYP-CN-006</t>
  </si>
  <si>
    <t>2026-02-21</t>
  </si>
  <si>
    <t>MEGHMANI ORGANICS LIMITED</t>
  </si>
  <si>
    <t>---</t>
  </si>
  <si>
    <t>INDIAN ORIGIN PLANT PROTECTION PRODUCT USED FOR AGRICULTURE INSECTICIDES CYPERMETHRIN TECHNICAL</t>
  </si>
  <si>
    <t>36吨大票且供应商为商务部列名企业，优先调取中国进口人</t>
  </si>
  <si>
    <t>CYP-CN-010</t>
  </si>
  <si>
    <t>2026-02-20</t>
  </si>
  <si>
    <t>可能与2月21日同票重复，需用提单号去重</t>
  </si>
  <si>
    <t>CYP-CN-018</t>
  </si>
  <si>
    <t>2026-01-06</t>
  </si>
  <si>
    <t>无公开买方名，但产品和供应商高度匹配</t>
  </si>
  <si>
    <t>PPS-CN-001</t>
  </si>
  <si>
    <t>FORTRON→China</t>
  </si>
  <si>
    <t>2026-02-26</t>
  </si>
  <si>
    <t>SHAILY ENGINEERING PLASTICS LIMITED</t>
  </si>
  <si>
    <t>SHENZHEN DEMEICHUANG TECHNOLOGY CO</t>
  </si>
  <si>
    <t>39071000</t>
  </si>
  <si>
    <t>RM10000058 PPS GF40% FORTRON M9140L4 SF3001N NATURAL 0 FOC AS PER INV</t>
  </si>
  <si>
    <t>A-</t>
  </si>
  <si>
    <t>直接对华、企业和牌号明确；50kg FOC疑似样品，尚不足以证明规模化绕道</t>
  </si>
  <si>
    <t>核是否为涉案PPS树脂或下游零件/改性料；调配方、批次、原产地证和价格发票</t>
  </si>
  <si>
    <t>PPS-CN-002</t>
  </si>
  <si>
    <t>DURAFIDE→China</t>
  </si>
  <si>
    <t>2025-09-19</t>
  </si>
  <si>
    <t>ARAYMOND INDIA PRIVATE LIMITED</t>
  </si>
  <si>
    <t>A RAYMOND PACIFIC SIGHT LIMITED</t>
  </si>
  <si>
    <t>40169990</t>
  </si>
  <si>
    <t>PL-PPS DURAFIDE 6150T73 HD9050 BLACK PART NO: 505075910</t>
  </si>
  <si>
    <t>B+</t>
  </si>
  <si>
    <t>小批量且带零件号，优先判断成型品还是树脂样品</t>
  </si>
  <si>
    <t>PPS-CN-003</t>
  </si>
  <si>
    <t>2025-09-10</t>
  </si>
  <si>
    <t>PT TOYO DENSO INDONESIA</t>
  </si>
  <si>
    <t>DONG GUAN PRECIOUS FINE MOLDING LTD</t>
  </si>
  <si>
    <t>Indonesia→China</t>
  </si>
  <si>
    <t>39081090</t>
  </si>
  <si>
    <t>PPS DURAFIDE GF40 BLACK</t>
  </si>
  <si>
    <t>直接对华且商品/HS明显冲突，但仅25kg，可能样品或余料</t>
  </si>
  <si>
    <t>POM-CN-001</t>
  </si>
  <si>
    <t>HOSTAFORM→China</t>
  </si>
  <si>
    <t>2026-05-26</t>
  </si>
  <si>
    <t>Công Ty TNHH Hamakyu</t>
  </si>
  <si>
    <t>SHANGHAI HENGJIU HUNDRED TRANSMISSION CO., LTD</t>
  </si>
  <si>
    <t>Vietnam→China</t>
  </si>
  <si>
    <t>Hạt nhựa nguyên sinh POM Hostaform LW15EWX, hãng Celanese, #&amp;DE</t>
  </si>
  <si>
    <t>直接出现原产字段冲突；数量25kg，可能样品，但最值得批次核验</t>
  </si>
  <si>
    <t>核中国报关原产地；比对越南出口申报中的#&amp;DE、原产地证和加工增值证明</t>
  </si>
  <si>
    <t>PEA-CN-001</t>
  </si>
  <si>
    <t>ROQUETTE N-735→China</t>
  </si>
  <si>
    <t>2025-08-05</t>
  </si>
  <si>
    <t>ROQUETTE CANADA LIMITED</t>
  </si>
  <si>
    <t>ORIGIN CHEM (HONG KONG) INTERNATIONAL</t>
  </si>
  <si>
    <t>Canada→China</t>
  </si>
  <si>
    <t>110819</t>
  </si>
  <si>
    <t>ROQUETTE PEA STARCH N-735</t>
  </si>
  <si>
    <t>香港贸易主体参与，但底层提单显示加拿大原产；早于2026年措施</t>
  </si>
  <si>
    <t>调措施生效后的中国进口记录；以批次/提单号追踪香港或新加坡贸易商第二程流向</t>
  </si>
  <si>
    <t>PEA-CN-002</t>
  </si>
  <si>
    <t>2025-08-01</t>
  </si>
  <si>
    <t>查询主题</t>
  </si>
  <si>
    <t>数据来源</t>
  </si>
  <si>
    <t>流向</t>
  </si>
  <si>
    <t>商品描述</t>
  </si>
  <si>
    <t>境内收发货人/买方</t>
  </si>
  <si>
    <t>境外收发货人/卖方</t>
  </si>
  <si>
    <t>申报重量</t>
  </si>
  <si>
    <t>申报数量</t>
  </si>
  <si>
    <t>申报金额</t>
  </si>
  <si>
    <t>目的地</t>
  </si>
  <si>
    <t>原产地</t>
  </si>
  <si>
    <t>品牌/牌号/批次</t>
  </si>
  <si>
    <t>疑似重复组</t>
  </si>
  <si>
    <t>路径标识</t>
  </si>
  <si>
    <t>HS/原产地风险</t>
  </si>
  <si>
    <t>分析备注</t>
  </si>
  <si>
    <t>来源链接</t>
  </si>
  <si>
    <t>查询时间</t>
  </si>
  <si>
    <t>印度全港</t>
  </si>
  <si>
    <t>出口</t>
  </si>
  <si>
    <t>China</t>
  </si>
  <si>
    <t>India</t>
  </si>
  <si>
    <t>CAS 52315-07-8; 92%; 40:60</t>
  </si>
  <si>
    <t>TAGROS-16000-95200</t>
  </si>
  <si>
    <t>India→China direct</t>
  </si>
  <si>
    <t>38089135与中国措施执行税号2926909013需交叉核验</t>
  </si>
  <si>
    <t>https://dd.data1688.com/custom/search?field=GOODS_DESC&amp;value=CYPERMETHRIN+TECHNICAL</t>
  </si>
  <si>
    <t>2026-08-08 11:28 CST</t>
  </si>
  <si>
    <t>CYP-CN-002</t>
  </si>
  <si>
    <t>2026-02-27</t>
  </si>
  <si>
    <t>38089199</t>
  </si>
  <si>
    <t>BETA CYPERMETHRIN TECHNICAL</t>
  </si>
  <si>
    <t>U S L</t>
  </si>
  <si>
    <t>SUPERFORM CHEMISTRIES LIMITED</t>
  </si>
  <si>
    <t>BETA CYPERMETHRIN</t>
  </si>
  <si>
    <t>SUPERFORM-18000-248400</t>
  </si>
  <si>
    <t>需核CAS及涉案范围；不能仅凭名称等同涉案氯氰菊酯</t>
  </si>
  <si>
    <t>B</t>
  </si>
  <si>
    <t>重复大票，应识别U S L完整中国主体及进口税号</t>
  </si>
  <si>
    <t>CYP-CN-004</t>
  </si>
  <si>
    <t>平台重复行，保留原始记录供去重</t>
  </si>
  <si>
    <t>CYP-CN-005</t>
  </si>
  <si>
    <t>需核CAS及涉案范围</t>
  </si>
  <si>
    <t>与2月27日字段重复，应以提单号和报关单去重</t>
  </si>
  <si>
    <t>MEGHMANI-36000-201600</t>
  </si>
  <si>
    <t>CYP-CN-007</t>
  </si>
  <si>
    <t>平台同字段多次出现，可能重复或拆分提单</t>
  </si>
  <si>
    <t>CYP-CN-008</t>
  </si>
  <si>
    <t>CYP-CN-009</t>
  </si>
  <si>
    <t>CYP-CN-011</t>
  </si>
  <si>
    <t>2026-02-19</t>
  </si>
  <si>
    <t>同一组合多次出现，需识别实际进口人和用途</t>
  </si>
  <si>
    <t>CYP-CN-012</t>
  </si>
  <si>
    <t>2026-02-18</t>
  </si>
  <si>
    <t>38086900</t>
  </si>
  <si>
    <t>BETA CYPERMETHRIN TECHNICAL CAS NO 65731 84 2 BETA CYPERMETHRIN 95%</t>
  </si>
  <si>
    <t>CAS 65731-84-2; 95%</t>
  </si>
  <si>
    <t>TAGROS-BETA-18000</t>
  </si>
  <si>
    <t>CAS与涉案产品范围需单独核实；HS为38086900</t>
  </si>
  <si>
    <t>高纯原药描述但可能不属于同一涉案CAS，不能直接并案</t>
  </si>
  <si>
    <t>CYP-CN-013</t>
  </si>
  <si>
    <t>2026-02-15</t>
  </si>
  <si>
    <t>重复大票，建议按收货人和税号做频次统计</t>
  </si>
  <si>
    <t>CYP-CN-014</t>
  </si>
  <si>
    <t>2026-02-09</t>
  </si>
  <si>
    <t>INDIAN ORIGIN PLANT PROTECTION PRODUCT USED FOR AGRICULTURE INSECTICIDES ALPHA CYPERMETHRIN TECHNICAL</t>
  </si>
  <si>
    <t>ALPHA CYPERMETHRIN</t>
  </si>
  <si>
    <t>MEGHMANI-ALPHA-9000</t>
  </si>
  <si>
    <t>不同异构体产品，不能直接等同涉案氯氰菊酯</t>
  </si>
  <si>
    <t>CYP-CN-015</t>
  </si>
  <si>
    <t>2026-02-03</t>
  </si>
  <si>
    <t>CYP-CN-016</t>
  </si>
  <si>
    <t>2026-01-29</t>
  </si>
  <si>
    <t>SUPERFORM-18000-249244.81</t>
  </si>
  <si>
    <t>与1月27日字段完全相同，可能重复</t>
  </si>
  <si>
    <t>CYP-CN-017</t>
  </si>
  <si>
    <t>2026-01-27</t>
  </si>
  <si>
    <t>与1月29日字段完全相同，需以提单号去重</t>
  </si>
  <si>
    <t>TAGROS-16000-96000</t>
  </si>
  <si>
    <t>CYP-CN-019</t>
  </si>
  <si>
    <t>2025-12-20</t>
  </si>
  <si>
    <t>TAGROS-BETA-18000-247211.39</t>
  </si>
  <si>
    <t>措施后直达中国，但不能据名称判断适用范围</t>
  </si>
  <si>
    <t>FORTRON M9140L4 SF3001N; GF40%</t>
  </si>
  <si>
    <t/>
  </si>
  <si>
    <t>India→China third-country sale</t>
  </si>
  <si>
    <t>商品为PPS但出口HS为39071000；需核是否为复合料及中国进口税号</t>
  </si>
  <si>
    <t>https://dd.data1688.com/custom/search?field=GOODS_DESC&amp;value=FORTRON</t>
  </si>
  <si>
    <t>2026-08-08 11:18 CST</t>
  </si>
  <si>
    <t>DURAFIDE 6150T73 HD9050</t>
  </si>
  <si>
    <t>ARAYMOND-DURAFIDE-25</t>
  </si>
  <si>
    <t>HS40169990与PPS树脂不一致；也可能为已成型橡塑零件</t>
  </si>
  <si>
    <t>https://dd.data1688.com/custom/search?field=GOODS_DESC&amp;value=DURAFIDE</t>
  </si>
  <si>
    <t>2026-08-08 11:22 CST</t>
  </si>
  <si>
    <t>印度尼西亚</t>
  </si>
  <si>
    <t>Indonesia</t>
  </si>
  <si>
    <t>DURAFIDE GF40 BLACK</t>
  </si>
  <si>
    <t>Indonesia→China third-country sale</t>
  </si>
  <si>
    <t>商品写PPS但HS39081090通常对应聚酰胺；需核中国进口申报</t>
  </si>
  <si>
    <t>PPS-CN-004</t>
  </si>
  <si>
    <t>2025-08-31</t>
  </si>
  <si>
    <t>39079900</t>
  </si>
  <si>
    <t>A RAYMOND PACIFIC SIGHT LTD SHENZHEN</t>
  </si>
  <si>
    <t>商品写PPS而HS39079900不同；需区分树脂与成型零件</t>
  </si>
  <si>
    <t>与9月19日同牌号同数量，可能重复发货或同项目样品</t>
  </si>
  <si>
    <t>PPS-UP-001</t>
  </si>
  <si>
    <t>RYTON USA→India</t>
  </si>
  <si>
    <t>进口</t>
  </si>
  <si>
    <t>2025-09-25</t>
  </si>
  <si>
    <t>39119090</t>
  </si>
  <si>
    <t>RYTON R R-4-230NA POLYPHENYLENE SULFIDE PPS IN 25 KG BAGS BATCH NO 2584U00296</t>
  </si>
  <si>
    <t>SYENSQO SPECIALTIES INDIA PRIVATE LIMITED</t>
  </si>
  <si>
    <t>SOLVAY SPECIALTY POLYMERS USA LLC</t>
  </si>
  <si>
    <t>United States</t>
  </si>
  <si>
    <t>RYTON R-4-230NA; batch 2584U00296</t>
  </si>
  <si>
    <t>RYTON-2584U00296</t>
  </si>
  <si>
    <t>USA→India upstream</t>
  </si>
  <si>
    <t>HS与PPS相符</t>
  </si>
  <si>
    <t>高税美国PPS进入印度的具体批次，可用于反查后续印度出口</t>
  </si>
  <si>
    <t>https://dd.data1688.com/custom/search?field=GOODS_DESC&amp;value=RYTON+R-4-230NA</t>
  </si>
  <si>
    <t>2026-08-08 11:03 CST</t>
  </si>
  <si>
    <t>PPS-UP-002</t>
  </si>
  <si>
    <t>2025-11-11</t>
  </si>
  <si>
    <t>同批号跨两个月进入印度，需查批次是否再出口</t>
  </si>
  <si>
    <t>PPS-UP-003</t>
  </si>
  <si>
    <t>2025-11-17</t>
  </si>
  <si>
    <t>RYTON R R-4-230NA POLYPHENYLENE SULFIDE PPS IN 25 KG BAGS BATCH NO 2584U00379</t>
  </si>
  <si>
    <t>SYENSQO SPECIALTY POLYMERS USA LLC</t>
  </si>
  <si>
    <t>RYTON R-4-230NA; batch 2584U00379</t>
  </si>
  <si>
    <t>RYTON-2584U00379</t>
  </si>
  <si>
    <t>明确批号和关联公司链条</t>
  </si>
  <si>
    <t>PPS-UP-004</t>
  </si>
  <si>
    <t>FORTRON USA/Malaysia→Vietnam</t>
  </si>
  <si>
    <t>越南全港</t>
  </si>
  <si>
    <t>2026-05-27</t>
  </si>
  <si>
    <t>39119000</t>
  </si>
  <si>
    <t>FORTRON 1140L6 SD3002 BK</t>
  </si>
  <si>
    <t>Công ty TNHH DURING Việt Nam</t>
  </si>
  <si>
    <t>DURING CO.,LTD (SEOSAN)</t>
  </si>
  <si>
    <t>Vietnam</t>
  </si>
  <si>
    <t>US-origin sold via Korean supplier→Vietnam</t>
  </si>
  <si>
    <t>发票供应商在韩国、申报原产美国，证明销售方与原产地分离</t>
  </si>
  <si>
    <t>2026-08-08 11:10 CST</t>
  </si>
  <si>
    <t>PPS-UP-005</t>
  </si>
  <si>
    <t>FORTRON 1140L6 SF3001 NT</t>
  </si>
  <si>
    <t>原产美国且经韩国销售主体，后续对华货物应穿透生产厂</t>
  </si>
  <si>
    <t>PPS-UP-006</t>
  </si>
  <si>
    <t>PPS GF40 BK FORTRON 1140A6 HD9100</t>
  </si>
  <si>
    <t>Malaysia</t>
  </si>
  <si>
    <t>FORTRON 1140A6 HD9100; GF40</t>
  </si>
  <si>
    <t>Malaysia-origin sold via Korean supplier→Vietnam</t>
  </si>
  <si>
    <t>C+</t>
  </si>
  <si>
    <t>表明马来西亚具备真实FORTRON/PPS供应，不宜仅凭品牌推定绕道</t>
  </si>
  <si>
    <t>PPS-MY-001</t>
  </si>
  <si>
    <t>DURAFIDE Malaysia→Indonesia</t>
  </si>
  <si>
    <t>2026-06-26</t>
  </si>
  <si>
    <t>POLYPHENYLENE SULFIDE PPS DURAFIDE 1140A6 HD9100 BLACK</t>
  </si>
  <si>
    <t>PT INABATA INDONESIA</t>
  </si>
  <si>
    <t>DAICEL HPP MALAYSIA SDN BHD</t>
  </si>
  <si>
    <t>DURAFIDE 1140A6 HD9100</t>
  </si>
  <si>
    <t>Malaysia→Indonesia local production signal</t>
  </si>
  <si>
    <t>支持马来西亚真实生产/配混能力，是反向证据</t>
  </si>
  <si>
    <t>2026-08-08 11:14 CST</t>
  </si>
  <si>
    <t>PPS-MY-002</t>
  </si>
  <si>
    <t>POLYPHENYLENE SULFIDE PPS DURAFIDE 1140A1 HD9050 BLACK</t>
  </si>
  <si>
    <t>DURAFIDE 1140A1 HD9050</t>
  </si>
  <si>
    <t>HOSTAFORM LW15EWX; description marks DE</t>
  </si>
  <si>
    <t>Germany-grade sold from Vietnam→China</t>
  </si>
  <si>
    <t>平台原产字段为Vietnam而描述标记DE，需调中国原产地申报</t>
  </si>
  <si>
    <t>https://dd.data1688.com/custom/search?field=GOODS_DESC&amp;value=HOSTAFORM</t>
  </si>
  <si>
    <t>2026-08-08 11:25 CST</t>
  </si>
  <si>
    <t>POM-CN-002</t>
  </si>
  <si>
    <t>RM10000056 POM GP TICONA HOSTAFORM MT12R01 NATURAL 0 FOC AS PER INV</t>
  </si>
  <si>
    <t>HOSTAFORM MT12R01</t>
  </si>
  <si>
    <t>India→China third-country sample</t>
  </si>
  <si>
    <t>HS与POM相符；需核实际生产商和原产地</t>
  </si>
  <si>
    <t>FOC小样但牌号明确，与同日FORTRON样品同一收发货人</t>
  </si>
  <si>
    <t>POM-CN-003</t>
  </si>
  <si>
    <t>RM10000059 POM GP TICONA HOSTAFORM MT12U03 NATURAL 0 FOC AS PER INV</t>
  </si>
  <si>
    <t>HOSTAFORM MT12U03</t>
  </si>
  <si>
    <t>同日同收发货人多牌号，疑似材料验证/样品包</t>
  </si>
  <si>
    <t>POM-CN-004</t>
  </si>
  <si>
    <t>RM10000054 POM GP TICONA HOSTAFORM MT24F01 NATURAL 0 FOC AS PER INV</t>
  </si>
  <si>
    <t>HOSTAFORM MT24F01</t>
  </si>
  <si>
    <t>POM-CN-005</t>
  </si>
  <si>
    <t>墨西哥全港</t>
  </si>
  <si>
    <t>2026-02-06</t>
  </si>
  <si>
    <t>3907100501</t>
  </si>
  <si>
    <t>RESINA DE POLIOXIMETILENO HOSTAFORM C9021 XAP2 14BLACK</t>
  </si>
  <si>
    <t>SUZHOU ZHENYE MOLD CO. LTD</t>
  </si>
  <si>
    <t>GRAMMER AUTOMOTIVE PUEBLA SA DE CV</t>
  </si>
  <si>
    <t>Mexico</t>
  </si>
  <si>
    <t>HOSTAFORM C9021 XAP2 14 BLACK</t>
  </si>
  <si>
    <t>Mexico→China third-country sale</t>
  </si>
  <si>
    <t>HS与POM相符；需核原厂批次及墨西哥加工</t>
  </si>
  <si>
    <t>具体墨西哥对华牌号记录，绝对量小，不能证明系统性绕道</t>
  </si>
  <si>
    <t>POM-SG-001</t>
  </si>
  <si>
    <t>POM→Singapore</t>
  </si>
  <si>
    <t>2025-04-06</t>
  </si>
  <si>
    <t>RM10000017 POM GP TICONA HOSTAFORM MT8U01 NATURAL 0 BATCH NO 0001953509</t>
  </si>
  <si>
    <t>FU YU CORPORATION LIMITED</t>
  </si>
  <si>
    <t>Singapore</t>
  </si>
  <si>
    <t>HOSTAFORM MT8U01; batch 0001953509</t>
  </si>
  <si>
    <t>HOSTAFORM-0001953509</t>
  </si>
  <si>
    <t>India→Singapore upstream</t>
  </si>
  <si>
    <t>HS与POM相符；需核原始树脂生产地</t>
  </si>
  <si>
    <t>精确批号，可用于匹配新加坡后续出口；未发现对应中国腿</t>
  </si>
  <si>
    <t>https://dd.data1688.com/custom/search?field=HS_CODE&amp;value=39071000</t>
  </si>
  <si>
    <t>2026-08-08 10:45 CST</t>
  </si>
  <si>
    <t>POM-SG-002</t>
  </si>
  <si>
    <t>RM10000014 POM GP MT SLIDEX 2404 NATURAL 0 BATCH NO 0002122721</t>
  </si>
  <si>
    <t>SLIDEX 2404; batch 0002122721</t>
  </si>
  <si>
    <t>SLIDEX-0002122721</t>
  </si>
  <si>
    <t>POM-SG-003</t>
  </si>
  <si>
    <t>RM10000072 POM DELRIN SC698 NC010 NATURAL BATCH NO EDCYFEG101</t>
  </si>
  <si>
    <t>DELRIN SC698; batch EDCYFEG101</t>
  </si>
  <si>
    <t>DELRIN-EDCYFEG101</t>
  </si>
  <si>
    <t>PEA-VN-001</t>
  </si>
  <si>
    <t>ROQUETTE N-735→Vietnam</t>
  </si>
  <si>
    <t>11081990</t>
  </si>
  <si>
    <t>PEA STARCH N-735, 1,000KG/BAG, manufacturer ROQUETTE CANADA LTD</t>
  </si>
  <si>
    <t>CÔNG TY CỔ PHẦN FI SAIGON</t>
  </si>
  <si>
    <t>ROQUETTE SINGAPORE PTE LTD</t>
  </si>
  <si>
    <t>Canada</t>
  </si>
  <si>
    <t>N-735</t>
  </si>
  <si>
    <t>Canada-origin sold via Singapore→Vietnam</t>
  </si>
  <si>
    <t>HS与豌豆淀粉相符</t>
  </si>
  <si>
    <t>新加坡为销售主体、加拿大原产被保留；证明渠道但不证明洗产地</t>
  </si>
  <si>
    <t>https://dd.data1688.com/custom/search?field=GOODS_DESC&amp;value=ROQUETTE+PEA+STARCH+N-735</t>
  </si>
  <si>
    <t>2026-08-08 11:20 CST</t>
  </si>
  <si>
    <t>PEA-VN-002</t>
  </si>
  <si>
    <t>2025-06-02</t>
  </si>
  <si>
    <t>ROQUETTE PEA STARCH N-735, manufacturer ROQUETTE CANADA LTD, 1 ton/bag</t>
  </si>
  <si>
    <t>THANH NAM TRADING IMPORT EXPORT AND LOGISTICS CO., LTD</t>
  </si>
  <si>
    <t>第三国销售主体明确，越南申报仍保留加拿大原产</t>
  </si>
  <si>
    <t>PEA-VN-003</t>
  </si>
  <si>
    <t>2025-04-24</t>
  </si>
  <si>
    <t>平台数量单位可能混用吨/千克，需以底单复核</t>
  </si>
  <si>
    <t>PEA-VN-004</t>
  </si>
  <si>
    <t>2025-01-20</t>
  </si>
  <si>
    <t>确认此前95吨记录的销售方为Roquette Singapore、原产加拿大</t>
  </si>
  <si>
    <t>PEA-VN-005</t>
  </si>
  <si>
    <t>2024-11-07</t>
  </si>
  <si>
    <t>稳定渠道早于反倾销措施，不能仅据此推定规避动机</t>
  </si>
  <si>
    <t>环球提单</t>
  </si>
  <si>
    <t>ROQUETTE-ORIGIN-CHEM-202508</t>
  </si>
  <si>
    <t>Canada→China with Hong Kong buyer/trader</t>
  </si>
  <si>
    <t>原产加拿大被保留；无洗产地证据</t>
  </si>
  <si>
    <t>2026-08-08 11:23 CST</t>
  </si>
  <si>
    <t>PEA-CN-003</t>
  </si>
  <si>
    <t>美国</t>
  </si>
  <si>
    <t>2025-06-27</t>
  </si>
  <si>
    <t>SHANGHAI HENGHENG FINE CHEMICAL INDUSTRY</t>
  </si>
  <si>
    <t>ROQUETTE-SHANGHAI-20250627</t>
  </si>
  <si>
    <t>Canada→China direct</t>
  </si>
  <si>
    <t>具体上海进口主体；早于措施，主要用于建立历史基线</t>
  </si>
  <si>
    <t>PEA-TRADE-001</t>
  </si>
  <si>
    <t>ROQUETTE N-735 trader node</t>
  </si>
  <si>
    <t>2026-07-26</t>
  </si>
  <si>
    <t>ROQUETTE PEA STARCH N-735, CERS AI0910202607175450567</t>
  </si>
  <si>
    <t>C AND D SINGAPORE BUSINESS PTE LTD</t>
  </si>
  <si>
    <t>ROQUETTE CANADA LTD</t>
  </si>
  <si>
    <t>ROQUETTE-CD-20260726</t>
  </si>
  <si>
    <t>Canada-origin with Singapore buyer/trader→US</t>
  </si>
  <si>
    <t>原产加拿大被保留；目的国并非中国</t>
  </si>
  <si>
    <t>措施后出现新加坡贸易主体，但没有中国第二腿，列入持续监测</t>
  </si>
  <si>
    <t>2026-08-08 11:19 CST</t>
  </si>
  <si>
    <t>查询口径与结果覆盖</t>
  </si>
  <si>
    <t>‘平台总量’为检索结果显示值；‘固化样本’为本次逐票核验并写入工作簿的代表性记录数</t>
  </si>
  <si>
    <t>平台总量</t>
  </si>
  <si>
    <t>固化样本</t>
  </si>
  <si>
    <t>检索条件</t>
  </si>
  <si>
    <t>已核实信号</t>
  </si>
  <si>
    <t>证据结论</t>
  </si>
  <si>
    <t>商品名；目的地中国；近一年</t>
  </si>
  <si>
    <t>印度生产商直达中国；精确CAS/纯度记录</t>
  </si>
  <si>
    <t>A：直接风险，尚非第三国绕道</t>
  </si>
  <si>
    <t>商品名；目的地中国</t>
  </si>
  <si>
    <t>印度企业向深圳发50kg GF40 PPS样品；HS39071000</t>
  </si>
  <si>
    <t>A-：跨HS线索，需判定是否涉案树脂</t>
  </si>
  <si>
    <t>印度/印尼→中国25kg记录；HS39079900/39081090/40169990</t>
  </si>
  <si>
    <t>A-/B+：小样/部件，不足以证明规避</t>
  </si>
  <si>
    <t>越南供应商→上海25kg，描述含#&amp;DE而平台原产地为越南</t>
  </si>
  <si>
    <t>A-：原产地字段冲突，优先调单</t>
  </si>
  <si>
    <t>精确牌号；目的地越南；两年</t>
  </si>
  <si>
    <t>Roquette Singapore为卖方，申报仍注明加拿大生产/原产</t>
  </si>
  <si>
    <t>B+：交易节点成立，反向证明原产地被保留</t>
  </si>
  <si>
    <t>精确牌号；目的地中国；两年</t>
  </si>
  <si>
    <t>香港贸易商作为买方，供应商/原产地仍为加拿大；均为措施前</t>
  </si>
  <si>
    <t>B+/B：措施后回流链未闭合</t>
  </si>
  <si>
    <t>精确牌号；全球；近一年</t>
  </si>
  <si>
    <t>美国PPS进入印度并带批次号2584U00296/2584U00379</t>
  </si>
  <si>
    <t>B+：第一程具体；未匹配印度→中国同批次</t>
  </si>
  <si>
    <t>品牌词；全球；近一年</t>
  </si>
  <si>
    <t>韩国开票、美国/马来西亚原产进入越南，原产地被保留</t>
  </si>
  <si>
    <t>B+/C+：供应链存在，但无中国第二程</t>
  </si>
  <si>
    <t>马来西亚PPS向印尼批量供货</t>
  </si>
  <si>
    <t>C+：真实区域生产/分销，不能当然认定转口</t>
  </si>
  <si>
    <t>POM/HS390710；目的地新加坡；两年</t>
  </si>
  <si>
    <t>印度→新加坡，含HOSTAFORM/DELRIN批次号</t>
  </si>
  <si>
    <t>B：可作为后续同批次匹配键</t>
  </si>
  <si>
    <t>证据分级与闭环判定规则</t>
  </si>
  <si>
    <t>用于内部筛查排序；所有主体名称均源自贸易数据页面，不代表其存在违法行为</t>
  </si>
  <si>
    <t>等级/标准</t>
  </si>
  <si>
    <t>含义</t>
  </si>
  <si>
    <t>使用限制</t>
  </si>
  <si>
    <t>中国为目的地，商品/生产商/CAS或批次高度匹配，足以直接调单</t>
  </si>
  <si>
    <t>不等于已证明逃税或绕道</t>
  </si>
  <si>
    <t>中国为目的地并有跨HS、原产地字段冲突或第三国供应商</t>
  </si>
  <si>
    <t>需排除样品、零件、改性料和真实加工</t>
  </si>
  <si>
    <t>第一程、贸易商节点或供应链实体明确，但缺中国第二程</t>
  </si>
  <si>
    <t>适合批次/提单号持续监测</t>
  </si>
  <si>
    <t>方向相关但时间、货量或产品范围不足</t>
  </si>
  <si>
    <t>仅作辅助线索</t>
  </si>
  <si>
    <t>证明区域产能或分销存在</t>
  </si>
  <si>
    <t>亦可能是反向证据，不能推定规避</t>
  </si>
  <si>
    <t>闭环标准</t>
  </si>
  <si>
    <t>原产国→第三国→中国两程交易可用提单号、集装箱号、批次、数量/金额、日期衔接</t>
  </si>
  <si>
    <t>还应核第三国实质性加工与中国进口原产地申报</t>
  </si>
  <si>
    <t>建议优先调取字段：进口申报单号、运输工具/航次、提单号、集装箱号、境内收货人、消费使用单位、境外发货人、生产商、原产国（地区）、启运国（地区）、成交方式、商品编码、规格型号、品牌/牌号、批次、数量、金额、原产地证号、随附单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</si>
</sst>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0"/>
      <color rgb="FF274E75"/>
      <name val="Carlito"/>
      <charset val="134"/>
    </font>
    <font>
      <b/>
      <sz val="11"/>
      <color rgb="FFFFFFFF"/>
      <name val="Carlito"/>
      <charset val="134"/>
    </font>
    <font>
      <sz val="11"/>
      <color rgb="FF17365D"/>
      <name val="Carlito"/>
      <charset val="134"/>
    </font>
    <font>
      <b/>
      <sz val="18"/>
      <color rgb="FF17365D"/>
      <name val="Carlito"/>
      <charset val="134"/>
    </font>
    <font>
      <sz val="9"/>
      <color rgb="FF4F6B82"/>
      <name val="Carlito"/>
      <charset val="134"/>
    </font>
    <font>
      <b/>
      <sz val="11"/>
      <color rgb="FF7F3F00"/>
      <name val="Carlito"/>
      <charset val="134"/>
    </font>
    <font>
      <sz val="11"/>
      <color rgb="FF274E1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2" borderId="4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0" fillId="4" borderId="0" xfId="49" applyNumberFormat="1" applyFont="1" applyFill="1" applyBorder="1" applyAlignment="1">
      <alignment vertical="top" wrapText="1"/>
    </xf>
    <xf numFmtId="0" fontId="0" fillId="5" borderId="0" xfId="49" applyNumberFormat="1" applyFont="1" applyFill="1" applyBorder="1" applyAlignment="1">
      <alignment vertical="top" wrapText="1"/>
    </xf>
    <xf numFmtId="0" fontId="0" fillId="6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7" borderId="0" xfId="49" applyNumberFormat="1" applyFont="1" applyFill="1" applyBorder="1" applyAlignment="1">
      <alignment vertical="top" wrapText="1"/>
    </xf>
    <xf numFmtId="0" fontId="4" fillId="3" borderId="0" xfId="49" applyNumberFormat="1" applyFont="1" applyFill="1" applyBorder="1" applyAlignment="1">
      <alignment wrapText="1"/>
    </xf>
    <xf numFmtId="4" fontId="0" fillId="0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horizontal="center" vertical="center"/>
    </xf>
    <xf numFmtId="0" fontId="6" fillId="8" borderId="0" xfId="49" applyNumberFormat="1" applyFont="1" applyFill="1" applyBorder="1" applyAlignment="1">
      <alignment horizontal="center"/>
    </xf>
    <xf numFmtId="0" fontId="7" fillId="6" borderId="0" xfId="49" applyNumberFormat="1" applyFont="1" applyFill="1" applyBorder="1" applyAlignment="1">
      <alignment vertical="center" wrapText="1"/>
    </xf>
    <xf numFmtId="0" fontId="0" fillId="9" borderId="0" xfId="49" applyNumberFormat="1" applyFont="1" applyFill="1" applyBorder="1" applyAlignment="1">
      <alignment vertical="top" wrapText="1"/>
    </xf>
    <xf numFmtId="0" fontId="8" fillId="7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9C0006"/>
      </font>
      <fill>
        <patternFill patternType="solid">
          <bgColor rgb="FFF4CCCC"/>
        </patternFill>
      </fill>
    </dxf>
    <dxf>
      <font>
        <color rgb="FF9C5700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HighRiskLeads" displayName="HighRiskLeads" ref="A4:M15" totalsRowShown="0">
  <tableColumns count="13">
    <tableColumn id="1" name="记录ID"/>
    <tableColumn id="2" name="商品方向"/>
    <tableColumn id="3" name="日期"/>
    <tableColumn id="4" name="境外供应商"/>
    <tableColumn id="5" name="中国/目的地买方"/>
    <tableColumn id="6" name="路线"/>
    <tableColumn id="7" name="HS编码"/>
    <tableColumn id="8" name="关键商品描述"/>
    <tableColumn id="9" name="数量"/>
    <tableColumn id="10" name="金额"/>
    <tableColumn id="11" name="证据等级"/>
    <tableColumn id="12" name="风险判断"/>
    <tableColumn id="13" name="下一步核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TradeRecords" displayName="RawTradeRecords" ref="A1:V49" totalsRowShown="0">
  <tableColumns count="22">
    <tableColumn id="1" name="记录ID"/>
    <tableColumn id="2" name="查询主题"/>
    <tableColumn id="3" name="数据来源"/>
    <tableColumn id="4" name="流向"/>
    <tableColumn id="5" name="日期"/>
    <tableColumn id="6" name="HS编码"/>
    <tableColumn id="7" name="商品描述"/>
    <tableColumn id="8" name="境内收发货人/买方"/>
    <tableColumn id="9" name="境外收发货人/卖方"/>
    <tableColumn id="10" name="申报重量"/>
    <tableColumn id="11" name="申报数量"/>
    <tableColumn id="12" name="申报金额"/>
    <tableColumn id="13" name="目的地"/>
    <tableColumn id="14" name="原产地"/>
    <tableColumn id="15" name="品牌/牌号/批次"/>
    <tableColumn id="16" name="疑似重复组"/>
    <tableColumn id="17" name="路径标识"/>
    <tableColumn id="18" name="HS/原产地风险"/>
    <tableColumn id="19" name="证据等级"/>
    <tableColumn id="20" name="分析备注"/>
    <tableColumn id="21" name="来源链接"/>
    <tableColumn id="22" name="查询时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eryCoverage" displayName="QueryCoverage" ref="A4:F14" totalsRowShown="0">
  <tableColumns count="6">
    <tableColumn id="1" name="查询主题"/>
    <tableColumn id="2" name="平台总量"/>
    <tableColumn id="3" name="固化样本"/>
    <tableColumn id="4" name="检索条件"/>
    <tableColumn id="5" name="已核实信号"/>
    <tableColumn id="6" name="证据结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tabSelected="1" workbookViewId="0">
      <selection activeCell="A1" sqref="A1:H1"/>
    </sheetView>
  </sheetViews>
  <sheetFormatPr defaultColWidth="9" defaultRowHeight="13.5" outlineLevelCol="7"/>
  <cols>
    <col min="1" max="1" width="15" customWidth="1"/>
    <col min="2" max="2" width="22" customWidth="1"/>
    <col min="3" max="3" width="24" customWidth="1"/>
    <col min="4" max="5" width="34" customWidth="1"/>
    <col min="6" max="6" width="10" customWidth="1"/>
    <col min="7" max="8" width="15" customWidth="1"/>
  </cols>
  <sheetData>
    <row r="1" ht="32" customHeight="1" spans="1:8">
      <c r="A1" s="1" t="s">
        <v>0</v>
      </c>
    </row>
    <row r="2" ht="30" customHeight="1" spans="1:8">
      <c r="A2" s="2" t="s">
        <v>1</v>
      </c>
    </row>
    <row r="4" ht="22.5" spans="1:8">
      <c r="A4" s="11">
        <f>COUNTA(原始明细!A2:A49)</f>
        <v>48</v>
      </c>
      <c r="C4" s="11">
        <f>COUNTIF(原始明细!M2:M49,"China")</f>
        <v>31</v>
      </c>
      <c r="E4" s="11">
        <f>COUNTIF(原始明细!S2:S49,"A")+COUNTIF(原始明细!S2:S49,"A-")</f>
        <v>12</v>
      </c>
      <c r="G4" s="11">
        <f>COUNTIF(原始明细!O2:O49,"&lt;&gt;")</f>
        <v>48</v>
      </c>
    </row>
    <row r="5" spans="1:8">
      <c r="A5" s="12" t="s">
        <v>2</v>
      </c>
      <c r="B5" s="12"/>
      <c r="C5" s="12" t="s">
        <v>3</v>
      </c>
      <c r="D5" s="12"/>
      <c r="E5" s="12" t="s">
        <v>4</v>
      </c>
      <c r="F5" s="12"/>
      <c r="G5" s="12" t="s">
        <v>5</v>
      </c>
      <c r="H5" s="12"/>
    </row>
    <row r="7" ht="32" customHeight="1" spans="1:8">
      <c r="A7" s="13" t="s">
        <v>6</v>
      </c>
      <c r="B7" s="13"/>
      <c r="C7" s="13"/>
      <c r="D7" s="13"/>
      <c r="E7" s="13"/>
      <c r="F7" s="13"/>
      <c r="G7" s="13"/>
      <c r="H7" s="13"/>
    </row>
    <row r="9" ht="30" customHeight="1" spans="1:8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8">
      <c r="A10" s="4" t="s">
        <v>13</v>
      </c>
      <c r="B10" s="4" t="s">
        <v>14</v>
      </c>
      <c r="C10" s="4" t="s">
        <v>15</v>
      </c>
      <c r="D10" s="4" t="s">
        <v>16</v>
      </c>
      <c r="E10" s="4" t="s">
        <v>17</v>
      </c>
      <c r="F10" s="4" t="s">
        <v>18</v>
      </c>
    </row>
    <row r="11" ht="27" spans="1:8">
      <c r="A11" s="5" t="s">
        <v>19</v>
      </c>
      <c r="B11" s="5" t="s">
        <v>20</v>
      </c>
      <c r="C11" s="5" t="s">
        <v>21</v>
      </c>
      <c r="D11" s="5" t="s">
        <v>22</v>
      </c>
      <c r="E11" s="5" t="s">
        <v>23</v>
      </c>
      <c r="F11" s="5" t="s">
        <v>24</v>
      </c>
    </row>
    <row r="12" ht="27" spans="1:8">
      <c r="A12" s="5" t="s">
        <v>25</v>
      </c>
      <c r="B12" s="5" t="s">
        <v>26</v>
      </c>
      <c r="C12" s="5" t="s">
        <v>27</v>
      </c>
      <c r="D12" s="5" t="s">
        <v>28</v>
      </c>
      <c r="E12" s="5" t="s">
        <v>29</v>
      </c>
      <c r="F12" s="5" t="s">
        <v>24</v>
      </c>
    </row>
    <row r="13" ht="27" spans="1:8">
      <c r="A13" s="7" t="s">
        <v>30</v>
      </c>
      <c r="B13" s="7" t="s">
        <v>31</v>
      </c>
      <c r="C13" s="7" t="s">
        <v>32</v>
      </c>
      <c r="D13" s="7" t="s">
        <v>33</v>
      </c>
      <c r="E13" s="7" t="s">
        <v>34</v>
      </c>
      <c r="F13" s="7" t="s">
        <v>35</v>
      </c>
    </row>
    <row r="14" ht="27" spans="1:8">
      <c r="A14" s="14" t="s">
        <v>36</v>
      </c>
      <c r="B14" s="14" t="s">
        <v>37</v>
      </c>
      <c r="C14" s="14" t="s">
        <v>38</v>
      </c>
      <c r="D14" s="14" t="s">
        <v>39</v>
      </c>
      <c r="E14" s="14" t="s">
        <v>40</v>
      </c>
      <c r="F14" s="14" t="s">
        <v>41</v>
      </c>
    </row>
    <row r="17" ht="32" customHeight="1" spans="1:8">
      <c r="A17" s="15" t="s">
        <v>42</v>
      </c>
      <c r="B17" s="15"/>
      <c r="C17" s="15"/>
      <c r="D17" s="15"/>
      <c r="E17" s="15"/>
      <c r="F17" s="15"/>
      <c r="G17" s="15"/>
      <c r="H17" s="15"/>
    </row>
  </sheetData>
  <mergeCells count="12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7:H7"/>
    <mergeCell ref="A17:H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workbookViewId="0">
      <selection activeCell="D7" sqref="D7"/>
    </sheetView>
  </sheetViews>
  <sheetFormatPr defaultColWidth="9" defaultRowHeight="13.5"/>
  <cols>
    <col min="1" max="1" width="14" customWidth="1"/>
    <col min="2" max="2" width="24" customWidth="1"/>
    <col min="3" max="3" width="12" customWidth="1"/>
    <col min="4" max="5" width="30" customWidth="1"/>
    <col min="6" max="6" width="18" customWidth="1"/>
    <col min="7" max="7" width="12" customWidth="1"/>
    <col min="8" max="8" width="45" customWidth="1"/>
    <col min="9" max="9" width="12" customWidth="1"/>
    <col min="10" max="10" width="14" customWidth="1"/>
    <col min="11" max="11" width="10" customWidth="1"/>
    <col min="12" max="12" width="42" customWidth="1"/>
    <col min="13" max="13" width="48" customWidth="1"/>
  </cols>
  <sheetData>
    <row r="1" ht="32" customHeight="1" spans="1:13">
      <c r="A1" s="1" t="s">
        <v>43</v>
      </c>
    </row>
    <row r="2" ht="30" customHeight="1" spans="1:13">
      <c r="A2" s="2" t="s">
        <v>44</v>
      </c>
    </row>
    <row r="4" ht="30" customHeight="1" spans="1:13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</row>
    <row r="5" ht="27" spans="1:13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10">
        <v>16000</v>
      </c>
      <c r="J5" s="10">
        <v>95200</v>
      </c>
      <c r="K5" s="7" t="s">
        <v>66</v>
      </c>
      <c r="L5" s="7" t="s">
        <v>67</v>
      </c>
      <c r="M5" s="7" t="s">
        <v>68</v>
      </c>
    </row>
    <row r="6" ht="27" spans="1:13">
      <c r="A6" s="7" t="s">
        <v>69</v>
      </c>
      <c r="B6" s="7" t="s">
        <v>59</v>
      </c>
      <c r="C6" s="7" t="s">
        <v>70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71</v>
      </c>
      <c r="I6" s="10">
        <v>16000</v>
      </c>
      <c r="J6" s="10">
        <v>95200</v>
      </c>
      <c r="K6" s="7" t="s">
        <v>66</v>
      </c>
      <c r="L6" s="7" t="s">
        <v>72</v>
      </c>
      <c r="M6" s="7" t="s">
        <v>68</v>
      </c>
    </row>
    <row r="7" ht="40.5" spans="1:13">
      <c r="A7" s="7" t="s">
        <v>73</v>
      </c>
      <c r="B7" s="7" t="s">
        <v>59</v>
      </c>
      <c r="C7" s="7" t="s">
        <v>74</v>
      </c>
      <c r="D7" s="7" t="s">
        <v>75</v>
      </c>
      <c r="E7" s="7" t="s">
        <v>76</v>
      </c>
      <c r="F7" s="7" t="s">
        <v>63</v>
      </c>
      <c r="G7" s="7" t="s">
        <v>64</v>
      </c>
      <c r="H7" s="7" t="s">
        <v>77</v>
      </c>
      <c r="I7" s="10">
        <v>36000</v>
      </c>
      <c r="J7" s="10">
        <v>201600</v>
      </c>
      <c r="K7" s="7" t="s">
        <v>66</v>
      </c>
      <c r="L7" s="7" t="s">
        <v>78</v>
      </c>
      <c r="M7" s="7" t="s">
        <v>68</v>
      </c>
    </row>
    <row r="8" ht="40.5" spans="1:13">
      <c r="A8" s="7" t="s">
        <v>79</v>
      </c>
      <c r="B8" s="7" t="s">
        <v>59</v>
      </c>
      <c r="C8" s="7" t="s">
        <v>80</v>
      </c>
      <c r="D8" s="7" t="s">
        <v>75</v>
      </c>
      <c r="E8" s="7" t="s">
        <v>76</v>
      </c>
      <c r="F8" s="7" t="s">
        <v>63</v>
      </c>
      <c r="G8" s="7" t="s">
        <v>64</v>
      </c>
      <c r="H8" s="7" t="s">
        <v>77</v>
      </c>
      <c r="I8" s="10">
        <v>36000</v>
      </c>
      <c r="J8" s="10">
        <v>201600</v>
      </c>
      <c r="K8" s="7" t="s">
        <v>66</v>
      </c>
      <c r="L8" s="7" t="s">
        <v>81</v>
      </c>
      <c r="M8" s="7" t="s">
        <v>68</v>
      </c>
    </row>
    <row r="9" ht="27" spans="1:13">
      <c r="A9" s="7" t="s">
        <v>82</v>
      </c>
      <c r="B9" s="7" t="s">
        <v>59</v>
      </c>
      <c r="C9" s="7" t="s">
        <v>83</v>
      </c>
      <c r="D9" s="7" t="s">
        <v>61</v>
      </c>
      <c r="E9" s="7" t="s">
        <v>76</v>
      </c>
      <c r="F9" s="7" t="s">
        <v>63</v>
      </c>
      <c r="G9" s="7" t="s">
        <v>64</v>
      </c>
      <c r="H9" s="7" t="s">
        <v>71</v>
      </c>
      <c r="I9" s="10">
        <v>16000</v>
      </c>
      <c r="J9" s="10">
        <v>96000</v>
      </c>
      <c r="K9" s="7" t="s">
        <v>66</v>
      </c>
      <c r="L9" s="7" t="s">
        <v>84</v>
      </c>
      <c r="M9" s="7" t="s">
        <v>68</v>
      </c>
    </row>
    <row r="10" ht="27" spans="1:13">
      <c r="A10" s="7" t="s">
        <v>85</v>
      </c>
      <c r="B10" s="7" t="s">
        <v>86</v>
      </c>
      <c r="C10" s="7" t="s">
        <v>87</v>
      </c>
      <c r="D10" s="7" t="s">
        <v>88</v>
      </c>
      <c r="E10" s="7" t="s">
        <v>89</v>
      </c>
      <c r="F10" s="7" t="s">
        <v>63</v>
      </c>
      <c r="G10" s="7" t="s">
        <v>90</v>
      </c>
      <c r="H10" s="7" t="s">
        <v>91</v>
      </c>
      <c r="I10" s="10">
        <v>50</v>
      </c>
      <c r="J10" s="10">
        <v>1060</v>
      </c>
      <c r="K10" s="7" t="s">
        <v>92</v>
      </c>
      <c r="L10" s="7" t="s">
        <v>93</v>
      </c>
      <c r="M10" s="7" t="s">
        <v>94</v>
      </c>
    </row>
    <row r="11" ht="27" spans="1:13">
      <c r="A11" s="7" t="s">
        <v>95</v>
      </c>
      <c r="B11" s="7" t="s">
        <v>96</v>
      </c>
      <c r="C11" s="7" t="s">
        <v>97</v>
      </c>
      <c r="D11" s="7" t="s">
        <v>98</v>
      </c>
      <c r="E11" s="7" t="s">
        <v>99</v>
      </c>
      <c r="F11" s="7" t="s">
        <v>63</v>
      </c>
      <c r="G11" s="7" t="s">
        <v>100</v>
      </c>
      <c r="H11" s="7" t="s">
        <v>101</v>
      </c>
      <c r="I11" s="10">
        <v>25</v>
      </c>
      <c r="J11" s="10">
        <v>195.32</v>
      </c>
      <c r="K11" s="7" t="s">
        <v>102</v>
      </c>
      <c r="L11" s="7" t="s">
        <v>103</v>
      </c>
      <c r="M11" s="7" t="s">
        <v>94</v>
      </c>
    </row>
    <row r="12" ht="27" spans="1:13">
      <c r="A12" s="7" t="s">
        <v>104</v>
      </c>
      <c r="B12" s="7" t="s">
        <v>96</v>
      </c>
      <c r="C12" s="7" t="s">
        <v>105</v>
      </c>
      <c r="D12" s="7" t="s">
        <v>106</v>
      </c>
      <c r="E12" s="7" t="s">
        <v>107</v>
      </c>
      <c r="F12" s="7" t="s">
        <v>108</v>
      </c>
      <c r="G12" s="7" t="s">
        <v>109</v>
      </c>
      <c r="H12" s="7" t="s">
        <v>110</v>
      </c>
      <c r="I12" s="10">
        <v>25</v>
      </c>
      <c r="J12" s="10">
        <v>271.25</v>
      </c>
      <c r="K12" s="7" t="s">
        <v>92</v>
      </c>
      <c r="L12" s="7" t="s">
        <v>111</v>
      </c>
      <c r="M12" s="7" t="s">
        <v>94</v>
      </c>
    </row>
    <row r="13" ht="27" spans="1:13">
      <c r="A13" s="7" t="s">
        <v>112</v>
      </c>
      <c r="B13" s="7" t="s">
        <v>113</v>
      </c>
      <c r="C13" s="7" t="s">
        <v>114</v>
      </c>
      <c r="D13" s="7" t="s">
        <v>115</v>
      </c>
      <c r="E13" s="7" t="s">
        <v>116</v>
      </c>
      <c r="F13" s="7" t="s">
        <v>117</v>
      </c>
      <c r="G13" s="7" t="s">
        <v>90</v>
      </c>
      <c r="H13" s="7" t="s">
        <v>118</v>
      </c>
      <c r="I13" s="10">
        <v>25</v>
      </c>
      <c r="J13" s="10">
        <v>4774382.5</v>
      </c>
      <c r="K13" s="7" t="s">
        <v>92</v>
      </c>
      <c r="L13" s="7" t="s">
        <v>119</v>
      </c>
      <c r="M13" s="7" t="s">
        <v>120</v>
      </c>
    </row>
    <row r="14" ht="27" spans="1:13">
      <c r="A14" s="7" t="s">
        <v>121</v>
      </c>
      <c r="B14" s="7" t="s">
        <v>122</v>
      </c>
      <c r="C14" s="7" t="s">
        <v>123</v>
      </c>
      <c r="D14" s="7" t="s">
        <v>124</v>
      </c>
      <c r="E14" s="7" t="s">
        <v>125</v>
      </c>
      <c r="F14" s="7" t="s">
        <v>126</v>
      </c>
      <c r="G14" s="7" t="s">
        <v>127</v>
      </c>
      <c r="H14" s="7" t="s">
        <v>128</v>
      </c>
      <c r="I14" s="10">
        <v>114</v>
      </c>
      <c r="J14" s="10"/>
      <c r="K14" s="7" t="s">
        <v>102</v>
      </c>
      <c r="L14" s="7" t="s">
        <v>129</v>
      </c>
      <c r="M14" s="7" t="s">
        <v>130</v>
      </c>
    </row>
    <row r="15" ht="27" spans="1:13">
      <c r="A15" s="7" t="s">
        <v>131</v>
      </c>
      <c r="B15" s="7" t="s">
        <v>122</v>
      </c>
      <c r="C15" s="7" t="s">
        <v>132</v>
      </c>
      <c r="D15" s="7" t="s">
        <v>124</v>
      </c>
      <c r="E15" s="7" t="s">
        <v>125</v>
      </c>
      <c r="F15" s="7" t="s">
        <v>126</v>
      </c>
      <c r="G15" s="7" t="s">
        <v>127</v>
      </c>
      <c r="H15" s="7" t="s">
        <v>128</v>
      </c>
      <c r="I15" s="10">
        <v>76</v>
      </c>
      <c r="J15" s="10"/>
      <c r="K15" s="7" t="s">
        <v>102</v>
      </c>
      <c r="L15" s="7" t="s">
        <v>129</v>
      </c>
      <c r="M15" s="7" t="s">
        <v>130</v>
      </c>
    </row>
  </sheetData>
  <mergeCells count="2">
    <mergeCell ref="A1:M1"/>
    <mergeCell ref="A2:M2"/>
  </mergeCells>
  <conditionalFormatting sqref="K5:K15">
    <cfRule type="containsText" dxfId="0" priority="1" operator="between" text="A">
      <formula>NOT(ISERROR(SEARCH("A",K5)))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9"/>
  <sheetViews>
    <sheetView showGridLines="0" workbookViewId="0">
      <selection activeCell="A1" sqref="A1"/>
    </sheetView>
  </sheetViews>
  <sheetFormatPr defaultColWidth="9" defaultRowHeight="13.5"/>
  <cols>
    <col min="1" max="1" width="14" customWidth="1"/>
    <col min="2" max="2" width="28" customWidth="1"/>
    <col min="3" max="3" width="13" customWidth="1"/>
    <col min="4" max="4" width="9" customWidth="1"/>
    <col min="5" max="6" width="12" customWidth="1"/>
    <col min="7" max="7" width="58" customWidth="1"/>
    <col min="8" max="8" width="32" customWidth="1"/>
    <col min="9" max="9" width="34" customWidth="1"/>
    <col min="10" max="11" width="13" customWidth="1"/>
    <col min="12" max="12" width="15" customWidth="1"/>
    <col min="13" max="14" width="12" customWidth="1"/>
    <col min="15" max="15" width="32" customWidth="1"/>
    <col min="16" max="16" width="22" customWidth="1"/>
    <col min="17" max="17" width="25" customWidth="1"/>
    <col min="18" max="18" width="42" customWidth="1"/>
    <col min="19" max="19" width="11" customWidth="1"/>
    <col min="20" max="20" width="48" customWidth="1"/>
    <col min="21" max="21" width="42" customWidth="1"/>
    <col min="22" max="22" width="20" customWidth="1"/>
  </cols>
  <sheetData>
    <row r="1" ht="30" customHeight="1" spans="1:22">
      <c r="A1" s="3" t="s">
        <v>45</v>
      </c>
      <c r="B1" s="3" t="s">
        <v>133</v>
      </c>
      <c r="C1" s="3" t="s">
        <v>134</v>
      </c>
      <c r="D1" s="3" t="s">
        <v>135</v>
      </c>
      <c r="E1" s="3" t="s">
        <v>47</v>
      </c>
      <c r="F1" s="3" t="s">
        <v>51</v>
      </c>
      <c r="G1" s="3" t="s">
        <v>136</v>
      </c>
      <c r="H1" s="3" t="s">
        <v>137</v>
      </c>
      <c r="I1" s="3" t="s">
        <v>138</v>
      </c>
      <c r="J1" s="3" t="s">
        <v>139</v>
      </c>
      <c r="K1" s="3" t="s">
        <v>140</v>
      </c>
      <c r="L1" s="3" t="s">
        <v>141</v>
      </c>
      <c r="M1" s="3" t="s">
        <v>142</v>
      </c>
      <c r="N1" s="3" t="s">
        <v>143</v>
      </c>
      <c r="O1" s="3" t="s">
        <v>144</v>
      </c>
      <c r="P1" s="3" t="s">
        <v>145</v>
      </c>
      <c r="Q1" s="3" t="s">
        <v>146</v>
      </c>
      <c r="R1" s="3" t="s">
        <v>147</v>
      </c>
      <c r="S1" s="3" t="s">
        <v>55</v>
      </c>
      <c r="T1" s="3" t="s">
        <v>148</v>
      </c>
      <c r="U1" s="3" t="s">
        <v>149</v>
      </c>
      <c r="V1" s="3" t="s">
        <v>150</v>
      </c>
    </row>
    <row r="2" ht="40.5" spans="1:22">
      <c r="A2" s="7" t="s">
        <v>58</v>
      </c>
      <c r="B2" s="7" t="s">
        <v>59</v>
      </c>
      <c r="C2" s="7" t="s">
        <v>151</v>
      </c>
      <c r="D2" s="7" t="s">
        <v>152</v>
      </c>
      <c r="E2" s="7" t="s">
        <v>60</v>
      </c>
      <c r="F2" s="7" t="s">
        <v>64</v>
      </c>
      <c r="G2" s="7" t="s">
        <v>65</v>
      </c>
      <c r="H2" s="7" t="s">
        <v>62</v>
      </c>
      <c r="I2" s="7" t="s">
        <v>61</v>
      </c>
      <c r="J2" s="10"/>
      <c r="K2" s="10">
        <v>16000</v>
      </c>
      <c r="L2" s="10">
        <v>95200</v>
      </c>
      <c r="M2" s="7" t="s">
        <v>153</v>
      </c>
      <c r="N2" s="7" t="s">
        <v>154</v>
      </c>
      <c r="O2" s="7" t="s">
        <v>155</v>
      </c>
      <c r="P2" s="7" t="s">
        <v>156</v>
      </c>
      <c r="Q2" s="7" t="s">
        <v>157</v>
      </c>
      <c r="R2" s="7" t="s">
        <v>158</v>
      </c>
      <c r="S2" s="7" t="s">
        <v>66</v>
      </c>
      <c r="T2" s="7" t="s">
        <v>67</v>
      </c>
      <c r="U2" s="7" t="s">
        <v>159</v>
      </c>
      <c r="V2" s="7" t="s">
        <v>160</v>
      </c>
    </row>
    <row r="3" ht="40.5" spans="1:22">
      <c r="A3" s="7" t="s">
        <v>161</v>
      </c>
      <c r="B3" s="7" t="s">
        <v>59</v>
      </c>
      <c r="C3" s="7" t="s">
        <v>151</v>
      </c>
      <c r="D3" s="7" t="s">
        <v>152</v>
      </c>
      <c r="E3" s="7" t="s">
        <v>162</v>
      </c>
      <c r="F3" s="7" t="s">
        <v>163</v>
      </c>
      <c r="G3" s="7" t="s">
        <v>164</v>
      </c>
      <c r="H3" s="7" t="s">
        <v>165</v>
      </c>
      <c r="I3" s="7" t="s">
        <v>166</v>
      </c>
      <c r="J3" s="10"/>
      <c r="K3" s="10">
        <v>18000</v>
      </c>
      <c r="L3" s="10">
        <v>248400</v>
      </c>
      <c r="M3" s="7" t="s">
        <v>153</v>
      </c>
      <c r="N3" s="7" t="s">
        <v>154</v>
      </c>
      <c r="O3" s="7" t="s">
        <v>167</v>
      </c>
      <c r="P3" s="7" t="s">
        <v>168</v>
      </c>
      <c r="Q3" s="7" t="s">
        <v>157</v>
      </c>
      <c r="R3" s="7" t="s">
        <v>169</v>
      </c>
      <c r="S3" s="7" t="s">
        <v>170</v>
      </c>
      <c r="T3" s="7" t="s">
        <v>171</v>
      </c>
      <c r="U3" s="7" t="s">
        <v>159</v>
      </c>
      <c r="V3" s="7" t="s">
        <v>160</v>
      </c>
    </row>
    <row r="4" ht="40.5" spans="1:22">
      <c r="A4" s="7" t="s">
        <v>69</v>
      </c>
      <c r="B4" s="7" t="s">
        <v>59</v>
      </c>
      <c r="C4" s="7" t="s">
        <v>151</v>
      </c>
      <c r="D4" s="7" t="s">
        <v>152</v>
      </c>
      <c r="E4" s="7" t="s">
        <v>70</v>
      </c>
      <c r="F4" s="7" t="s">
        <v>64</v>
      </c>
      <c r="G4" s="7" t="s">
        <v>71</v>
      </c>
      <c r="H4" s="7" t="s">
        <v>62</v>
      </c>
      <c r="I4" s="7" t="s">
        <v>61</v>
      </c>
      <c r="J4" s="10"/>
      <c r="K4" s="10">
        <v>16000</v>
      </c>
      <c r="L4" s="10">
        <v>95200</v>
      </c>
      <c r="M4" s="7" t="s">
        <v>153</v>
      </c>
      <c r="N4" s="7" t="s">
        <v>154</v>
      </c>
      <c r="O4" s="7" t="s">
        <v>71</v>
      </c>
      <c r="P4" s="7" t="s">
        <v>156</v>
      </c>
      <c r="Q4" s="7" t="s">
        <v>157</v>
      </c>
      <c r="R4" s="7" t="s">
        <v>158</v>
      </c>
      <c r="S4" s="7" t="s">
        <v>66</v>
      </c>
      <c r="T4" s="7" t="s">
        <v>72</v>
      </c>
      <c r="U4" s="7" t="s">
        <v>159</v>
      </c>
      <c r="V4" s="7" t="s">
        <v>160</v>
      </c>
    </row>
    <row r="5" ht="40.5" spans="1:22">
      <c r="A5" s="7" t="s">
        <v>172</v>
      </c>
      <c r="B5" s="7" t="s">
        <v>59</v>
      </c>
      <c r="C5" s="7" t="s">
        <v>151</v>
      </c>
      <c r="D5" s="7" t="s">
        <v>152</v>
      </c>
      <c r="E5" s="7" t="s">
        <v>70</v>
      </c>
      <c r="F5" s="7" t="s">
        <v>64</v>
      </c>
      <c r="G5" s="7" t="s">
        <v>71</v>
      </c>
      <c r="H5" s="7" t="s">
        <v>62</v>
      </c>
      <c r="I5" s="7" t="s">
        <v>61</v>
      </c>
      <c r="J5" s="10"/>
      <c r="K5" s="10">
        <v>16000</v>
      </c>
      <c r="L5" s="10">
        <v>95200</v>
      </c>
      <c r="M5" s="7" t="s">
        <v>153</v>
      </c>
      <c r="N5" s="7" t="s">
        <v>154</v>
      </c>
      <c r="O5" s="7" t="s">
        <v>71</v>
      </c>
      <c r="P5" s="7" t="s">
        <v>156</v>
      </c>
      <c r="Q5" s="7" t="s">
        <v>157</v>
      </c>
      <c r="R5" s="7" t="s">
        <v>158</v>
      </c>
      <c r="S5" s="7" t="s">
        <v>66</v>
      </c>
      <c r="T5" s="7" t="s">
        <v>173</v>
      </c>
      <c r="U5" s="7" t="s">
        <v>159</v>
      </c>
      <c r="V5" s="7" t="s">
        <v>160</v>
      </c>
    </row>
    <row r="6" ht="40.5" spans="1:22">
      <c r="A6" s="7" t="s">
        <v>174</v>
      </c>
      <c r="B6" s="7" t="s">
        <v>59</v>
      </c>
      <c r="C6" s="7" t="s">
        <v>151</v>
      </c>
      <c r="D6" s="7" t="s">
        <v>152</v>
      </c>
      <c r="E6" s="7" t="s">
        <v>70</v>
      </c>
      <c r="F6" s="7" t="s">
        <v>163</v>
      </c>
      <c r="G6" s="7" t="s">
        <v>164</v>
      </c>
      <c r="H6" s="7" t="s">
        <v>165</v>
      </c>
      <c r="I6" s="7" t="s">
        <v>166</v>
      </c>
      <c r="J6" s="10"/>
      <c r="K6" s="10">
        <v>18000</v>
      </c>
      <c r="L6" s="10">
        <v>248400</v>
      </c>
      <c r="M6" s="7" t="s">
        <v>153</v>
      </c>
      <c r="N6" s="7" t="s">
        <v>154</v>
      </c>
      <c r="O6" s="7" t="s">
        <v>167</v>
      </c>
      <c r="P6" s="7" t="s">
        <v>168</v>
      </c>
      <c r="Q6" s="7" t="s">
        <v>157</v>
      </c>
      <c r="R6" s="7" t="s">
        <v>175</v>
      </c>
      <c r="S6" s="7" t="s">
        <v>170</v>
      </c>
      <c r="T6" s="7" t="s">
        <v>176</v>
      </c>
      <c r="U6" s="7" t="s">
        <v>159</v>
      </c>
      <c r="V6" s="7" t="s">
        <v>160</v>
      </c>
    </row>
    <row r="7" ht="40.5" spans="1:22">
      <c r="A7" s="7" t="s">
        <v>73</v>
      </c>
      <c r="B7" s="7" t="s">
        <v>59</v>
      </c>
      <c r="C7" s="7" t="s">
        <v>151</v>
      </c>
      <c r="D7" s="7" t="s">
        <v>152</v>
      </c>
      <c r="E7" s="7" t="s">
        <v>74</v>
      </c>
      <c r="F7" s="7" t="s">
        <v>64</v>
      </c>
      <c r="G7" s="7" t="s">
        <v>77</v>
      </c>
      <c r="H7" s="7" t="s">
        <v>76</v>
      </c>
      <c r="I7" s="7" t="s">
        <v>75</v>
      </c>
      <c r="J7" s="10"/>
      <c r="K7" s="10">
        <v>36000</v>
      </c>
      <c r="L7" s="10">
        <v>201600</v>
      </c>
      <c r="M7" s="7" t="s">
        <v>153</v>
      </c>
      <c r="N7" s="7" t="s">
        <v>154</v>
      </c>
      <c r="O7" s="7" t="s">
        <v>71</v>
      </c>
      <c r="P7" s="7" t="s">
        <v>177</v>
      </c>
      <c r="Q7" s="7" t="s">
        <v>157</v>
      </c>
      <c r="R7" s="7" t="s">
        <v>158</v>
      </c>
      <c r="S7" s="7" t="s">
        <v>66</v>
      </c>
      <c r="T7" s="7" t="s">
        <v>78</v>
      </c>
      <c r="U7" s="7" t="s">
        <v>159</v>
      </c>
      <c r="V7" s="7" t="s">
        <v>160</v>
      </c>
    </row>
    <row r="8" ht="40.5" spans="1:22">
      <c r="A8" s="7" t="s">
        <v>178</v>
      </c>
      <c r="B8" s="7" t="s">
        <v>59</v>
      </c>
      <c r="C8" s="7" t="s">
        <v>151</v>
      </c>
      <c r="D8" s="7" t="s">
        <v>152</v>
      </c>
      <c r="E8" s="7" t="s">
        <v>74</v>
      </c>
      <c r="F8" s="7" t="s">
        <v>64</v>
      </c>
      <c r="G8" s="7" t="s">
        <v>71</v>
      </c>
      <c r="H8" s="7" t="s">
        <v>62</v>
      </c>
      <c r="I8" s="7" t="s">
        <v>61</v>
      </c>
      <c r="J8" s="10"/>
      <c r="K8" s="10">
        <v>16000</v>
      </c>
      <c r="L8" s="10">
        <v>95200</v>
      </c>
      <c r="M8" s="7" t="s">
        <v>153</v>
      </c>
      <c r="N8" s="7" t="s">
        <v>154</v>
      </c>
      <c r="O8" s="7" t="s">
        <v>71</v>
      </c>
      <c r="P8" s="7" t="s">
        <v>156</v>
      </c>
      <c r="Q8" s="7" t="s">
        <v>157</v>
      </c>
      <c r="R8" s="7" t="s">
        <v>158</v>
      </c>
      <c r="S8" s="7" t="s">
        <v>66</v>
      </c>
      <c r="T8" s="7" t="s">
        <v>179</v>
      </c>
      <c r="U8" s="7" t="s">
        <v>159</v>
      </c>
      <c r="V8" s="7" t="s">
        <v>160</v>
      </c>
    </row>
    <row r="9" ht="40.5" spans="1:22">
      <c r="A9" s="7" t="s">
        <v>180</v>
      </c>
      <c r="B9" s="7" t="s">
        <v>59</v>
      </c>
      <c r="C9" s="7" t="s">
        <v>151</v>
      </c>
      <c r="D9" s="7" t="s">
        <v>152</v>
      </c>
      <c r="E9" s="7" t="s">
        <v>74</v>
      </c>
      <c r="F9" s="7" t="s">
        <v>64</v>
      </c>
      <c r="G9" s="7" t="s">
        <v>71</v>
      </c>
      <c r="H9" s="7" t="s">
        <v>62</v>
      </c>
      <c r="I9" s="7" t="s">
        <v>61</v>
      </c>
      <c r="J9" s="10"/>
      <c r="K9" s="10">
        <v>16000</v>
      </c>
      <c r="L9" s="10">
        <v>95200</v>
      </c>
      <c r="M9" s="7" t="s">
        <v>153</v>
      </c>
      <c r="N9" s="7" t="s">
        <v>154</v>
      </c>
      <c r="O9" s="7" t="s">
        <v>71</v>
      </c>
      <c r="P9" s="7" t="s">
        <v>156</v>
      </c>
      <c r="Q9" s="7" t="s">
        <v>157</v>
      </c>
      <c r="R9" s="7" t="s">
        <v>158</v>
      </c>
      <c r="S9" s="7" t="s">
        <v>66</v>
      </c>
      <c r="T9" s="7" t="s">
        <v>173</v>
      </c>
      <c r="U9" s="7" t="s">
        <v>159</v>
      </c>
      <c r="V9" s="7" t="s">
        <v>160</v>
      </c>
    </row>
    <row r="10" ht="40.5" spans="1:22">
      <c r="A10" s="7" t="s">
        <v>181</v>
      </c>
      <c r="B10" s="7" t="s">
        <v>59</v>
      </c>
      <c r="C10" s="7" t="s">
        <v>151</v>
      </c>
      <c r="D10" s="7" t="s">
        <v>152</v>
      </c>
      <c r="E10" s="7" t="s">
        <v>74</v>
      </c>
      <c r="F10" s="7" t="s">
        <v>64</v>
      </c>
      <c r="G10" s="7" t="s">
        <v>71</v>
      </c>
      <c r="H10" s="7" t="s">
        <v>62</v>
      </c>
      <c r="I10" s="7" t="s">
        <v>61</v>
      </c>
      <c r="J10" s="10"/>
      <c r="K10" s="10">
        <v>16000</v>
      </c>
      <c r="L10" s="10">
        <v>95200</v>
      </c>
      <c r="M10" s="7" t="s">
        <v>153</v>
      </c>
      <c r="N10" s="7" t="s">
        <v>154</v>
      </c>
      <c r="O10" s="7" t="s">
        <v>71</v>
      </c>
      <c r="P10" s="7" t="s">
        <v>156</v>
      </c>
      <c r="Q10" s="7" t="s">
        <v>157</v>
      </c>
      <c r="R10" s="7" t="s">
        <v>158</v>
      </c>
      <c r="S10" s="7" t="s">
        <v>66</v>
      </c>
      <c r="T10" s="7" t="s">
        <v>173</v>
      </c>
      <c r="U10" s="7" t="s">
        <v>159</v>
      </c>
      <c r="V10" s="7" t="s">
        <v>160</v>
      </c>
    </row>
    <row r="11" ht="40.5" spans="1:22">
      <c r="A11" s="7" t="s">
        <v>79</v>
      </c>
      <c r="B11" s="7" t="s">
        <v>59</v>
      </c>
      <c r="C11" s="7" t="s">
        <v>151</v>
      </c>
      <c r="D11" s="7" t="s">
        <v>152</v>
      </c>
      <c r="E11" s="7" t="s">
        <v>80</v>
      </c>
      <c r="F11" s="7" t="s">
        <v>64</v>
      </c>
      <c r="G11" s="7" t="s">
        <v>77</v>
      </c>
      <c r="H11" s="7" t="s">
        <v>76</v>
      </c>
      <c r="I11" s="7" t="s">
        <v>75</v>
      </c>
      <c r="J11" s="10"/>
      <c r="K11" s="10">
        <v>36000</v>
      </c>
      <c r="L11" s="10">
        <v>201600</v>
      </c>
      <c r="M11" s="7" t="s">
        <v>153</v>
      </c>
      <c r="N11" s="7" t="s">
        <v>154</v>
      </c>
      <c r="O11" s="7" t="s">
        <v>71</v>
      </c>
      <c r="P11" s="7" t="s">
        <v>177</v>
      </c>
      <c r="Q11" s="7" t="s">
        <v>157</v>
      </c>
      <c r="R11" s="7" t="s">
        <v>158</v>
      </c>
      <c r="S11" s="7" t="s">
        <v>66</v>
      </c>
      <c r="T11" s="7" t="s">
        <v>81</v>
      </c>
      <c r="U11" s="7" t="s">
        <v>159</v>
      </c>
      <c r="V11" s="7" t="s">
        <v>160</v>
      </c>
    </row>
    <row r="12" ht="40.5" spans="1:22">
      <c r="A12" s="7" t="s">
        <v>182</v>
      </c>
      <c r="B12" s="7" t="s">
        <v>59</v>
      </c>
      <c r="C12" s="7" t="s">
        <v>151</v>
      </c>
      <c r="D12" s="7" t="s">
        <v>152</v>
      </c>
      <c r="E12" s="7" t="s">
        <v>183</v>
      </c>
      <c r="F12" s="7" t="s">
        <v>163</v>
      </c>
      <c r="G12" s="7" t="s">
        <v>164</v>
      </c>
      <c r="H12" s="7" t="s">
        <v>165</v>
      </c>
      <c r="I12" s="7" t="s">
        <v>166</v>
      </c>
      <c r="J12" s="10"/>
      <c r="K12" s="10">
        <v>18000</v>
      </c>
      <c r="L12" s="10">
        <v>248400</v>
      </c>
      <c r="M12" s="7" t="s">
        <v>153</v>
      </c>
      <c r="N12" s="7" t="s">
        <v>154</v>
      </c>
      <c r="O12" s="7" t="s">
        <v>167</v>
      </c>
      <c r="P12" s="7" t="s">
        <v>168</v>
      </c>
      <c r="Q12" s="7" t="s">
        <v>157</v>
      </c>
      <c r="R12" s="7" t="s">
        <v>175</v>
      </c>
      <c r="S12" s="7" t="s">
        <v>170</v>
      </c>
      <c r="T12" s="7" t="s">
        <v>184</v>
      </c>
      <c r="U12" s="7" t="s">
        <v>159</v>
      </c>
      <c r="V12" s="7" t="s">
        <v>160</v>
      </c>
    </row>
    <row r="13" ht="40.5" spans="1:22">
      <c r="A13" s="7" t="s">
        <v>185</v>
      </c>
      <c r="B13" s="7" t="s">
        <v>59</v>
      </c>
      <c r="C13" s="7" t="s">
        <v>151</v>
      </c>
      <c r="D13" s="7" t="s">
        <v>152</v>
      </c>
      <c r="E13" s="7" t="s">
        <v>186</v>
      </c>
      <c r="F13" s="7" t="s">
        <v>187</v>
      </c>
      <c r="G13" s="7" t="s">
        <v>188</v>
      </c>
      <c r="H13" s="7" t="s">
        <v>76</v>
      </c>
      <c r="I13" s="7" t="s">
        <v>61</v>
      </c>
      <c r="J13" s="10"/>
      <c r="K13" s="10">
        <v>18000</v>
      </c>
      <c r="L13" s="10">
        <v>243000</v>
      </c>
      <c r="M13" s="7" t="s">
        <v>153</v>
      </c>
      <c r="N13" s="7" t="s">
        <v>154</v>
      </c>
      <c r="O13" s="7" t="s">
        <v>189</v>
      </c>
      <c r="P13" s="7" t="s">
        <v>190</v>
      </c>
      <c r="Q13" s="7" t="s">
        <v>157</v>
      </c>
      <c r="R13" s="7" t="s">
        <v>191</v>
      </c>
      <c r="S13" s="7" t="s">
        <v>170</v>
      </c>
      <c r="T13" s="7" t="s">
        <v>192</v>
      </c>
      <c r="U13" s="7" t="s">
        <v>159</v>
      </c>
      <c r="V13" s="7" t="s">
        <v>160</v>
      </c>
    </row>
    <row r="14" ht="40.5" spans="1:22">
      <c r="A14" s="7" t="s">
        <v>193</v>
      </c>
      <c r="B14" s="7" t="s">
        <v>59</v>
      </c>
      <c r="C14" s="7" t="s">
        <v>151</v>
      </c>
      <c r="D14" s="7" t="s">
        <v>152</v>
      </c>
      <c r="E14" s="7" t="s">
        <v>194</v>
      </c>
      <c r="F14" s="7" t="s">
        <v>163</v>
      </c>
      <c r="G14" s="7" t="s">
        <v>164</v>
      </c>
      <c r="H14" s="7" t="s">
        <v>165</v>
      </c>
      <c r="I14" s="7" t="s">
        <v>166</v>
      </c>
      <c r="J14" s="10"/>
      <c r="K14" s="10">
        <v>18000</v>
      </c>
      <c r="L14" s="10">
        <v>248400</v>
      </c>
      <c r="M14" s="7" t="s">
        <v>153</v>
      </c>
      <c r="N14" s="7" t="s">
        <v>154</v>
      </c>
      <c r="O14" s="7" t="s">
        <v>167</v>
      </c>
      <c r="P14" s="7" t="s">
        <v>168</v>
      </c>
      <c r="Q14" s="7" t="s">
        <v>157</v>
      </c>
      <c r="R14" s="7" t="s">
        <v>175</v>
      </c>
      <c r="S14" s="7" t="s">
        <v>170</v>
      </c>
      <c r="T14" s="7" t="s">
        <v>195</v>
      </c>
      <c r="U14" s="7" t="s">
        <v>159</v>
      </c>
      <c r="V14" s="7" t="s">
        <v>160</v>
      </c>
    </row>
    <row r="15" ht="40.5" spans="1:22">
      <c r="A15" s="7" t="s">
        <v>196</v>
      </c>
      <c r="B15" s="7" t="s">
        <v>59</v>
      </c>
      <c r="C15" s="7" t="s">
        <v>151</v>
      </c>
      <c r="D15" s="7" t="s">
        <v>152</v>
      </c>
      <c r="E15" s="7" t="s">
        <v>197</v>
      </c>
      <c r="F15" s="7" t="s">
        <v>187</v>
      </c>
      <c r="G15" s="7" t="s">
        <v>198</v>
      </c>
      <c r="H15" s="7" t="s">
        <v>76</v>
      </c>
      <c r="I15" s="7" t="s">
        <v>75</v>
      </c>
      <c r="J15" s="10"/>
      <c r="K15" s="10">
        <v>9000</v>
      </c>
      <c r="L15" s="10">
        <v>83250</v>
      </c>
      <c r="M15" s="7" t="s">
        <v>153</v>
      </c>
      <c r="N15" s="7" t="s">
        <v>154</v>
      </c>
      <c r="O15" s="7" t="s">
        <v>199</v>
      </c>
      <c r="P15" s="7" t="s">
        <v>200</v>
      </c>
      <c r="Q15" s="7" t="s">
        <v>157</v>
      </c>
      <c r="R15" s="7" t="s">
        <v>175</v>
      </c>
      <c r="S15" s="7" t="s">
        <v>170</v>
      </c>
      <c r="T15" s="7" t="s">
        <v>201</v>
      </c>
      <c r="U15" s="7" t="s">
        <v>159</v>
      </c>
      <c r="V15" s="7" t="s">
        <v>160</v>
      </c>
    </row>
    <row r="16" ht="40.5" spans="1:22">
      <c r="A16" s="7" t="s">
        <v>202</v>
      </c>
      <c r="B16" s="7" t="s">
        <v>59</v>
      </c>
      <c r="C16" s="7" t="s">
        <v>151</v>
      </c>
      <c r="D16" s="7" t="s">
        <v>152</v>
      </c>
      <c r="E16" s="7" t="s">
        <v>203</v>
      </c>
      <c r="F16" s="7" t="s">
        <v>163</v>
      </c>
      <c r="G16" s="7" t="s">
        <v>164</v>
      </c>
      <c r="H16" s="7" t="s">
        <v>165</v>
      </c>
      <c r="I16" s="7" t="s">
        <v>166</v>
      </c>
      <c r="J16" s="10"/>
      <c r="K16" s="10">
        <v>18000</v>
      </c>
      <c r="L16" s="10">
        <v>248400</v>
      </c>
      <c r="M16" s="7" t="s">
        <v>153</v>
      </c>
      <c r="N16" s="7" t="s">
        <v>154</v>
      </c>
      <c r="O16" s="7" t="s">
        <v>167</v>
      </c>
      <c r="P16" s="7" t="s">
        <v>168</v>
      </c>
      <c r="Q16" s="7" t="s">
        <v>157</v>
      </c>
      <c r="R16" s="7" t="s">
        <v>175</v>
      </c>
      <c r="S16" s="7" t="s">
        <v>170</v>
      </c>
      <c r="T16" s="7" t="s">
        <v>195</v>
      </c>
      <c r="U16" s="7" t="s">
        <v>159</v>
      </c>
      <c r="V16" s="7" t="s">
        <v>160</v>
      </c>
    </row>
    <row r="17" ht="40.5" spans="1:22">
      <c r="A17" s="7" t="s">
        <v>204</v>
      </c>
      <c r="B17" s="7" t="s">
        <v>59</v>
      </c>
      <c r="C17" s="7" t="s">
        <v>151</v>
      </c>
      <c r="D17" s="7" t="s">
        <v>152</v>
      </c>
      <c r="E17" s="7" t="s">
        <v>205</v>
      </c>
      <c r="F17" s="7" t="s">
        <v>163</v>
      </c>
      <c r="G17" s="7" t="s">
        <v>164</v>
      </c>
      <c r="H17" s="7" t="s">
        <v>165</v>
      </c>
      <c r="I17" s="7" t="s">
        <v>166</v>
      </c>
      <c r="J17" s="10"/>
      <c r="K17" s="10">
        <v>18000</v>
      </c>
      <c r="L17" s="10">
        <v>249244.81</v>
      </c>
      <c r="M17" s="7" t="s">
        <v>153</v>
      </c>
      <c r="N17" s="7" t="s">
        <v>154</v>
      </c>
      <c r="O17" s="7" t="s">
        <v>167</v>
      </c>
      <c r="P17" s="7" t="s">
        <v>206</v>
      </c>
      <c r="Q17" s="7" t="s">
        <v>157</v>
      </c>
      <c r="R17" s="7" t="s">
        <v>175</v>
      </c>
      <c r="S17" s="7" t="s">
        <v>170</v>
      </c>
      <c r="T17" s="7" t="s">
        <v>207</v>
      </c>
      <c r="U17" s="7" t="s">
        <v>159</v>
      </c>
      <c r="V17" s="7" t="s">
        <v>160</v>
      </c>
    </row>
    <row r="18" ht="40.5" spans="1:22">
      <c r="A18" s="7" t="s">
        <v>208</v>
      </c>
      <c r="B18" s="7" t="s">
        <v>59</v>
      </c>
      <c r="C18" s="7" t="s">
        <v>151</v>
      </c>
      <c r="D18" s="7" t="s">
        <v>152</v>
      </c>
      <c r="E18" s="7" t="s">
        <v>209</v>
      </c>
      <c r="F18" s="7" t="s">
        <v>163</v>
      </c>
      <c r="G18" s="7" t="s">
        <v>164</v>
      </c>
      <c r="H18" s="7" t="s">
        <v>165</v>
      </c>
      <c r="I18" s="7" t="s">
        <v>166</v>
      </c>
      <c r="J18" s="10"/>
      <c r="K18" s="10">
        <v>18000</v>
      </c>
      <c r="L18" s="10">
        <v>249244.81</v>
      </c>
      <c r="M18" s="7" t="s">
        <v>153</v>
      </c>
      <c r="N18" s="7" t="s">
        <v>154</v>
      </c>
      <c r="O18" s="7" t="s">
        <v>167</v>
      </c>
      <c r="P18" s="7" t="s">
        <v>206</v>
      </c>
      <c r="Q18" s="7" t="s">
        <v>157</v>
      </c>
      <c r="R18" s="7" t="s">
        <v>175</v>
      </c>
      <c r="S18" s="7" t="s">
        <v>170</v>
      </c>
      <c r="T18" s="7" t="s">
        <v>210</v>
      </c>
      <c r="U18" s="7" t="s">
        <v>159</v>
      </c>
      <c r="V18" s="7" t="s">
        <v>160</v>
      </c>
    </row>
    <row r="19" ht="40.5" spans="1:22">
      <c r="A19" s="7" t="s">
        <v>82</v>
      </c>
      <c r="B19" s="7" t="s">
        <v>59</v>
      </c>
      <c r="C19" s="7" t="s">
        <v>151</v>
      </c>
      <c r="D19" s="7" t="s">
        <v>152</v>
      </c>
      <c r="E19" s="7" t="s">
        <v>83</v>
      </c>
      <c r="F19" s="7" t="s">
        <v>64</v>
      </c>
      <c r="G19" s="7" t="s">
        <v>71</v>
      </c>
      <c r="H19" s="7" t="s">
        <v>76</v>
      </c>
      <c r="I19" s="7" t="s">
        <v>61</v>
      </c>
      <c r="J19" s="10"/>
      <c r="K19" s="10">
        <v>16000</v>
      </c>
      <c r="L19" s="10">
        <v>96000</v>
      </c>
      <c r="M19" s="7" t="s">
        <v>153</v>
      </c>
      <c r="N19" s="7" t="s">
        <v>154</v>
      </c>
      <c r="O19" s="7" t="s">
        <v>71</v>
      </c>
      <c r="P19" s="7" t="s">
        <v>211</v>
      </c>
      <c r="Q19" s="7" t="s">
        <v>157</v>
      </c>
      <c r="R19" s="7" t="s">
        <v>158</v>
      </c>
      <c r="S19" s="7" t="s">
        <v>66</v>
      </c>
      <c r="T19" s="7" t="s">
        <v>84</v>
      </c>
      <c r="U19" s="7" t="s">
        <v>159</v>
      </c>
      <c r="V19" s="7" t="s">
        <v>160</v>
      </c>
    </row>
    <row r="20" ht="40.5" spans="1:22">
      <c r="A20" s="7" t="s">
        <v>212</v>
      </c>
      <c r="B20" s="7" t="s">
        <v>59</v>
      </c>
      <c r="C20" s="7" t="s">
        <v>151</v>
      </c>
      <c r="D20" s="7" t="s">
        <v>152</v>
      </c>
      <c r="E20" s="7" t="s">
        <v>213</v>
      </c>
      <c r="F20" s="7" t="s">
        <v>187</v>
      </c>
      <c r="G20" s="7" t="s">
        <v>164</v>
      </c>
      <c r="H20" s="7" t="s">
        <v>76</v>
      </c>
      <c r="I20" s="7" t="s">
        <v>61</v>
      </c>
      <c r="J20" s="10"/>
      <c r="K20" s="10">
        <v>18000</v>
      </c>
      <c r="L20" s="10">
        <v>247211.39</v>
      </c>
      <c r="M20" s="7" t="s">
        <v>153</v>
      </c>
      <c r="N20" s="7" t="s">
        <v>154</v>
      </c>
      <c r="O20" s="7" t="s">
        <v>167</v>
      </c>
      <c r="P20" s="7" t="s">
        <v>214</v>
      </c>
      <c r="Q20" s="7" t="s">
        <v>157</v>
      </c>
      <c r="R20" s="7" t="s">
        <v>175</v>
      </c>
      <c r="S20" s="7" t="s">
        <v>170</v>
      </c>
      <c r="T20" s="7" t="s">
        <v>215</v>
      </c>
      <c r="U20" s="7" t="s">
        <v>159</v>
      </c>
      <c r="V20" s="7" t="s">
        <v>160</v>
      </c>
    </row>
    <row r="21" ht="27" spans="1:22">
      <c r="A21" s="7" t="s">
        <v>85</v>
      </c>
      <c r="B21" s="7" t="s">
        <v>86</v>
      </c>
      <c r="C21" s="7" t="s">
        <v>151</v>
      </c>
      <c r="D21" s="7" t="s">
        <v>152</v>
      </c>
      <c r="E21" s="7" t="s">
        <v>87</v>
      </c>
      <c r="F21" s="7" t="s">
        <v>90</v>
      </c>
      <c r="G21" s="7" t="s">
        <v>91</v>
      </c>
      <c r="H21" s="7" t="s">
        <v>89</v>
      </c>
      <c r="I21" s="7" t="s">
        <v>88</v>
      </c>
      <c r="J21" s="10"/>
      <c r="K21" s="10">
        <v>50</v>
      </c>
      <c r="L21" s="10">
        <v>1060</v>
      </c>
      <c r="M21" s="7" t="s">
        <v>153</v>
      </c>
      <c r="N21" s="7" t="s">
        <v>154</v>
      </c>
      <c r="O21" s="7" t="s">
        <v>216</v>
      </c>
      <c r="P21" s="7" t="s">
        <v>217</v>
      </c>
      <c r="Q21" s="7" t="s">
        <v>218</v>
      </c>
      <c r="R21" s="7" t="s">
        <v>219</v>
      </c>
      <c r="S21" s="7" t="s">
        <v>92</v>
      </c>
      <c r="T21" s="7" t="s">
        <v>93</v>
      </c>
      <c r="U21" s="7" t="s">
        <v>220</v>
      </c>
      <c r="V21" s="7" t="s">
        <v>221</v>
      </c>
    </row>
    <row r="22" ht="27" spans="1:22">
      <c r="A22" s="7" t="s">
        <v>95</v>
      </c>
      <c r="B22" s="7" t="s">
        <v>96</v>
      </c>
      <c r="C22" s="7" t="s">
        <v>151</v>
      </c>
      <c r="D22" s="7" t="s">
        <v>152</v>
      </c>
      <c r="E22" s="7" t="s">
        <v>97</v>
      </c>
      <c r="F22" s="7" t="s">
        <v>100</v>
      </c>
      <c r="G22" s="7" t="s">
        <v>101</v>
      </c>
      <c r="H22" s="7" t="s">
        <v>99</v>
      </c>
      <c r="I22" s="7" t="s">
        <v>98</v>
      </c>
      <c r="J22" s="10"/>
      <c r="K22" s="10">
        <v>25</v>
      </c>
      <c r="L22" s="10">
        <v>195.32</v>
      </c>
      <c r="M22" s="7" t="s">
        <v>153</v>
      </c>
      <c r="N22" s="7" t="s">
        <v>154</v>
      </c>
      <c r="O22" s="7" t="s">
        <v>222</v>
      </c>
      <c r="P22" s="7" t="s">
        <v>223</v>
      </c>
      <c r="Q22" s="7" t="s">
        <v>218</v>
      </c>
      <c r="R22" s="7" t="s">
        <v>224</v>
      </c>
      <c r="S22" s="7" t="s">
        <v>102</v>
      </c>
      <c r="T22" s="7" t="s">
        <v>103</v>
      </c>
      <c r="U22" s="7" t="s">
        <v>225</v>
      </c>
      <c r="V22" s="7" t="s">
        <v>226</v>
      </c>
    </row>
    <row r="23" ht="27" spans="1:22">
      <c r="A23" s="7" t="s">
        <v>104</v>
      </c>
      <c r="B23" s="7" t="s">
        <v>96</v>
      </c>
      <c r="C23" s="7" t="s">
        <v>227</v>
      </c>
      <c r="D23" s="7" t="s">
        <v>152</v>
      </c>
      <c r="E23" s="7" t="s">
        <v>105</v>
      </c>
      <c r="F23" s="7" t="s">
        <v>109</v>
      </c>
      <c r="G23" s="7" t="s">
        <v>110</v>
      </c>
      <c r="H23" s="7" t="s">
        <v>107</v>
      </c>
      <c r="I23" s="7" t="s">
        <v>106</v>
      </c>
      <c r="J23" s="10">
        <v>25</v>
      </c>
      <c r="K23" s="10">
        <v>25</v>
      </c>
      <c r="L23" s="10">
        <v>271.25</v>
      </c>
      <c r="M23" s="7" t="s">
        <v>153</v>
      </c>
      <c r="N23" s="7" t="s">
        <v>228</v>
      </c>
      <c r="O23" s="7" t="s">
        <v>229</v>
      </c>
      <c r="P23" s="7" t="s">
        <v>217</v>
      </c>
      <c r="Q23" s="7" t="s">
        <v>230</v>
      </c>
      <c r="R23" s="7" t="s">
        <v>231</v>
      </c>
      <c r="S23" s="7" t="s">
        <v>92</v>
      </c>
      <c r="T23" s="7" t="s">
        <v>111</v>
      </c>
      <c r="U23" s="7" t="s">
        <v>225</v>
      </c>
      <c r="V23" s="7" t="s">
        <v>226</v>
      </c>
    </row>
    <row r="24" ht="27" spans="1:22">
      <c r="A24" s="7" t="s">
        <v>232</v>
      </c>
      <c r="B24" s="7" t="s">
        <v>96</v>
      </c>
      <c r="C24" s="7" t="s">
        <v>151</v>
      </c>
      <c r="D24" s="7" t="s">
        <v>152</v>
      </c>
      <c r="E24" s="7" t="s">
        <v>233</v>
      </c>
      <c r="F24" s="7" t="s">
        <v>234</v>
      </c>
      <c r="G24" s="7" t="s">
        <v>101</v>
      </c>
      <c r="H24" s="7" t="s">
        <v>235</v>
      </c>
      <c r="I24" s="7" t="s">
        <v>98</v>
      </c>
      <c r="J24" s="10"/>
      <c r="K24" s="10">
        <v>25</v>
      </c>
      <c r="L24" s="10">
        <v>184.24</v>
      </c>
      <c r="M24" s="7" t="s">
        <v>153</v>
      </c>
      <c r="N24" s="7" t="s">
        <v>154</v>
      </c>
      <c r="O24" s="7" t="s">
        <v>222</v>
      </c>
      <c r="P24" s="7" t="s">
        <v>223</v>
      </c>
      <c r="Q24" s="7" t="s">
        <v>218</v>
      </c>
      <c r="R24" s="7" t="s">
        <v>236</v>
      </c>
      <c r="S24" s="7" t="s">
        <v>102</v>
      </c>
      <c r="T24" s="7" t="s">
        <v>237</v>
      </c>
      <c r="U24" s="7" t="s">
        <v>225</v>
      </c>
      <c r="V24" s="7" t="s">
        <v>226</v>
      </c>
    </row>
    <row r="25" ht="27" spans="1:22">
      <c r="A25" s="7" t="s">
        <v>238</v>
      </c>
      <c r="B25" s="7" t="s">
        <v>239</v>
      </c>
      <c r="C25" s="7" t="s">
        <v>151</v>
      </c>
      <c r="D25" s="7" t="s">
        <v>240</v>
      </c>
      <c r="E25" s="7" t="s">
        <v>241</v>
      </c>
      <c r="F25" s="7" t="s">
        <v>242</v>
      </c>
      <c r="G25" s="7" t="s">
        <v>243</v>
      </c>
      <c r="H25" s="7" t="s">
        <v>244</v>
      </c>
      <c r="I25" s="7" t="s">
        <v>245</v>
      </c>
      <c r="J25" s="10"/>
      <c r="K25" s="10">
        <v>8000</v>
      </c>
      <c r="L25" s="10">
        <v>65840</v>
      </c>
      <c r="M25" s="7" t="s">
        <v>154</v>
      </c>
      <c r="N25" s="7" t="s">
        <v>246</v>
      </c>
      <c r="O25" s="7" t="s">
        <v>247</v>
      </c>
      <c r="P25" s="7" t="s">
        <v>248</v>
      </c>
      <c r="Q25" s="7" t="s">
        <v>249</v>
      </c>
      <c r="R25" s="7" t="s">
        <v>250</v>
      </c>
      <c r="S25" s="7" t="s">
        <v>102</v>
      </c>
      <c r="T25" s="7" t="s">
        <v>251</v>
      </c>
      <c r="U25" s="7" t="s">
        <v>252</v>
      </c>
      <c r="V25" s="7" t="s">
        <v>253</v>
      </c>
    </row>
    <row r="26" ht="27" spans="1:22">
      <c r="A26" s="7" t="s">
        <v>254</v>
      </c>
      <c r="B26" s="7" t="s">
        <v>239</v>
      </c>
      <c r="C26" s="7" t="s">
        <v>151</v>
      </c>
      <c r="D26" s="7" t="s">
        <v>240</v>
      </c>
      <c r="E26" s="7" t="s">
        <v>255</v>
      </c>
      <c r="F26" s="7" t="s">
        <v>242</v>
      </c>
      <c r="G26" s="7" t="s">
        <v>243</v>
      </c>
      <c r="H26" s="7" t="s">
        <v>244</v>
      </c>
      <c r="I26" s="7" t="s">
        <v>245</v>
      </c>
      <c r="J26" s="10"/>
      <c r="K26" s="10">
        <v>400</v>
      </c>
      <c r="L26" s="10">
        <v>3268.09</v>
      </c>
      <c r="M26" s="7" t="s">
        <v>154</v>
      </c>
      <c r="N26" s="7" t="s">
        <v>246</v>
      </c>
      <c r="O26" s="7" t="s">
        <v>247</v>
      </c>
      <c r="P26" s="7" t="s">
        <v>248</v>
      </c>
      <c r="Q26" s="7" t="s">
        <v>249</v>
      </c>
      <c r="R26" s="7" t="s">
        <v>250</v>
      </c>
      <c r="S26" s="7" t="s">
        <v>102</v>
      </c>
      <c r="T26" s="7" t="s">
        <v>256</v>
      </c>
      <c r="U26" s="7" t="s">
        <v>252</v>
      </c>
      <c r="V26" s="7" t="s">
        <v>253</v>
      </c>
    </row>
    <row r="27" ht="27" spans="1:22">
      <c r="A27" s="7" t="s">
        <v>257</v>
      </c>
      <c r="B27" s="7" t="s">
        <v>239</v>
      </c>
      <c r="C27" s="7" t="s">
        <v>151</v>
      </c>
      <c r="D27" s="7" t="s">
        <v>240</v>
      </c>
      <c r="E27" s="7" t="s">
        <v>258</v>
      </c>
      <c r="F27" s="7" t="s">
        <v>242</v>
      </c>
      <c r="G27" s="7" t="s">
        <v>259</v>
      </c>
      <c r="H27" s="7" t="s">
        <v>244</v>
      </c>
      <c r="I27" s="7" t="s">
        <v>260</v>
      </c>
      <c r="J27" s="10"/>
      <c r="K27" s="10">
        <v>1950</v>
      </c>
      <c r="L27" s="10">
        <v>15912</v>
      </c>
      <c r="M27" s="7" t="s">
        <v>154</v>
      </c>
      <c r="N27" s="7" t="s">
        <v>246</v>
      </c>
      <c r="O27" s="7" t="s">
        <v>261</v>
      </c>
      <c r="P27" s="7" t="s">
        <v>262</v>
      </c>
      <c r="Q27" s="7" t="s">
        <v>249</v>
      </c>
      <c r="R27" s="7" t="s">
        <v>250</v>
      </c>
      <c r="S27" s="7" t="s">
        <v>102</v>
      </c>
      <c r="T27" s="7" t="s">
        <v>263</v>
      </c>
      <c r="U27" s="7" t="s">
        <v>252</v>
      </c>
      <c r="V27" s="7" t="s">
        <v>253</v>
      </c>
    </row>
    <row r="28" ht="27" spans="1:22">
      <c r="A28" s="7" t="s">
        <v>264</v>
      </c>
      <c r="B28" s="7" t="s">
        <v>265</v>
      </c>
      <c r="C28" s="7" t="s">
        <v>266</v>
      </c>
      <c r="D28" s="7" t="s">
        <v>240</v>
      </c>
      <c r="E28" s="7" t="s">
        <v>267</v>
      </c>
      <c r="F28" s="7" t="s">
        <v>268</v>
      </c>
      <c r="G28" s="7" t="s">
        <v>269</v>
      </c>
      <c r="H28" s="7" t="s">
        <v>270</v>
      </c>
      <c r="I28" s="7" t="s">
        <v>271</v>
      </c>
      <c r="J28" s="10"/>
      <c r="K28" s="10">
        <v>4000</v>
      </c>
      <c r="L28" s="10">
        <v>1411856848</v>
      </c>
      <c r="M28" s="7" t="s">
        <v>272</v>
      </c>
      <c r="N28" s="7" t="s">
        <v>246</v>
      </c>
      <c r="O28" s="7" t="s">
        <v>269</v>
      </c>
      <c r="P28" s="7" t="s">
        <v>217</v>
      </c>
      <c r="Q28" s="7" t="s">
        <v>273</v>
      </c>
      <c r="R28" s="7" t="s">
        <v>250</v>
      </c>
      <c r="S28" s="7" t="s">
        <v>102</v>
      </c>
      <c r="T28" s="7" t="s">
        <v>274</v>
      </c>
      <c r="U28" s="7" t="s">
        <v>220</v>
      </c>
      <c r="V28" s="7" t="s">
        <v>275</v>
      </c>
    </row>
    <row r="29" ht="27" spans="1:22">
      <c r="A29" s="7" t="s">
        <v>276</v>
      </c>
      <c r="B29" s="7" t="s">
        <v>265</v>
      </c>
      <c r="C29" s="7" t="s">
        <v>266</v>
      </c>
      <c r="D29" s="7" t="s">
        <v>240</v>
      </c>
      <c r="E29" s="7" t="s">
        <v>267</v>
      </c>
      <c r="F29" s="7" t="s">
        <v>268</v>
      </c>
      <c r="G29" s="7" t="s">
        <v>277</v>
      </c>
      <c r="H29" s="7" t="s">
        <v>270</v>
      </c>
      <c r="I29" s="7" t="s">
        <v>271</v>
      </c>
      <c r="J29" s="10"/>
      <c r="K29" s="10">
        <v>1000</v>
      </c>
      <c r="L29" s="10">
        <v>352964212</v>
      </c>
      <c r="M29" s="7" t="s">
        <v>272</v>
      </c>
      <c r="N29" s="7" t="s">
        <v>246</v>
      </c>
      <c r="O29" s="7" t="s">
        <v>277</v>
      </c>
      <c r="P29" s="7" t="s">
        <v>217</v>
      </c>
      <c r="Q29" s="7" t="s">
        <v>273</v>
      </c>
      <c r="R29" s="7" t="s">
        <v>250</v>
      </c>
      <c r="S29" s="7" t="s">
        <v>102</v>
      </c>
      <c r="T29" s="7" t="s">
        <v>278</v>
      </c>
      <c r="U29" s="7" t="s">
        <v>220</v>
      </c>
      <c r="V29" s="7" t="s">
        <v>275</v>
      </c>
    </row>
    <row r="30" ht="27" spans="1:22">
      <c r="A30" s="7" t="s">
        <v>279</v>
      </c>
      <c r="B30" s="7" t="s">
        <v>265</v>
      </c>
      <c r="C30" s="7" t="s">
        <v>266</v>
      </c>
      <c r="D30" s="7" t="s">
        <v>240</v>
      </c>
      <c r="E30" s="7" t="s">
        <v>267</v>
      </c>
      <c r="F30" s="7" t="s">
        <v>268</v>
      </c>
      <c r="G30" s="7" t="s">
        <v>280</v>
      </c>
      <c r="H30" s="7" t="s">
        <v>270</v>
      </c>
      <c r="I30" s="7" t="s">
        <v>271</v>
      </c>
      <c r="J30" s="10"/>
      <c r="K30" s="10">
        <v>1000</v>
      </c>
      <c r="L30" s="10">
        <v>314800545.2</v>
      </c>
      <c r="M30" s="7" t="s">
        <v>272</v>
      </c>
      <c r="N30" s="7" t="s">
        <v>281</v>
      </c>
      <c r="O30" s="7" t="s">
        <v>282</v>
      </c>
      <c r="P30" s="7" t="s">
        <v>217</v>
      </c>
      <c r="Q30" s="7" t="s">
        <v>283</v>
      </c>
      <c r="R30" s="7" t="s">
        <v>250</v>
      </c>
      <c r="S30" s="7" t="s">
        <v>284</v>
      </c>
      <c r="T30" s="7" t="s">
        <v>285</v>
      </c>
      <c r="U30" s="7" t="s">
        <v>220</v>
      </c>
      <c r="V30" s="7" t="s">
        <v>275</v>
      </c>
    </row>
    <row r="31" ht="27" spans="1:22">
      <c r="A31" s="7" t="s">
        <v>286</v>
      </c>
      <c r="B31" s="7" t="s">
        <v>287</v>
      </c>
      <c r="C31" s="7" t="s">
        <v>227</v>
      </c>
      <c r="D31" s="7" t="s">
        <v>240</v>
      </c>
      <c r="E31" s="7" t="s">
        <v>288</v>
      </c>
      <c r="F31" s="7" t="s">
        <v>268</v>
      </c>
      <c r="G31" s="7" t="s">
        <v>289</v>
      </c>
      <c r="H31" s="7" t="s">
        <v>290</v>
      </c>
      <c r="I31" s="7" t="s">
        <v>291</v>
      </c>
      <c r="J31" s="10">
        <v>4000</v>
      </c>
      <c r="K31" s="10">
        <v>4000</v>
      </c>
      <c r="L31" s="10">
        <v>41360</v>
      </c>
      <c r="M31" s="7" t="s">
        <v>228</v>
      </c>
      <c r="N31" s="7" t="s">
        <v>281</v>
      </c>
      <c r="O31" s="7" t="s">
        <v>292</v>
      </c>
      <c r="P31" s="7" t="s">
        <v>217</v>
      </c>
      <c r="Q31" s="7" t="s">
        <v>293</v>
      </c>
      <c r="R31" s="7" t="s">
        <v>250</v>
      </c>
      <c r="S31" s="7" t="s">
        <v>284</v>
      </c>
      <c r="T31" s="7" t="s">
        <v>294</v>
      </c>
      <c r="U31" s="7" t="s">
        <v>225</v>
      </c>
      <c r="V31" s="7" t="s">
        <v>295</v>
      </c>
    </row>
    <row r="32" ht="27" spans="1:22">
      <c r="A32" s="7" t="s">
        <v>296</v>
      </c>
      <c r="B32" s="7" t="s">
        <v>287</v>
      </c>
      <c r="C32" s="7" t="s">
        <v>227</v>
      </c>
      <c r="D32" s="7" t="s">
        <v>240</v>
      </c>
      <c r="E32" s="7" t="s">
        <v>288</v>
      </c>
      <c r="F32" s="7" t="s">
        <v>268</v>
      </c>
      <c r="G32" s="7" t="s">
        <v>297</v>
      </c>
      <c r="H32" s="7" t="s">
        <v>290</v>
      </c>
      <c r="I32" s="7" t="s">
        <v>291</v>
      </c>
      <c r="J32" s="10">
        <v>7000</v>
      </c>
      <c r="K32" s="10">
        <v>7000</v>
      </c>
      <c r="L32" s="10">
        <v>57890</v>
      </c>
      <c r="M32" s="7" t="s">
        <v>228</v>
      </c>
      <c r="N32" s="7" t="s">
        <v>281</v>
      </c>
      <c r="O32" s="7" t="s">
        <v>298</v>
      </c>
      <c r="P32" s="7" t="s">
        <v>217</v>
      </c>
      <c r="Q32" s="7" t="s">
        <v>293</v>
      </c>
      <c r="R32" s="7" t="s">
        <v>250</v>
      </c>
      <c r="S32" s="7" t="s">
        <v>284</v>
      </c>
      <c r="T32" s="7" t="s">
        <v>294</v>
      </c>
      <c r="U32" s="7" t="s">
        <v>225</v>
      </c>
      <c r="V32" s="7" t="s">
        <v>295</v>
      </c>
    </row>
    <row r="33" ht="27" spans="1:22">
      <c r="A33" s="7" t="s">
        <v>112</v>
      </c>
      <c r="B33" s="7" t="s">
        <v>113</v>
      </c>
      <c r="C33" s="7" t="s">
        <v>266</v>
      </c>
      <c r="D33" s="7" t="s">
        <v>152</v>
      </c>
      <c r="E33" s="7" t="s">
        <v>114</v>
      </c>
      <c r="F33" s="7" t="s">
        <v>90</v>
      </c>
      <c r="G33" s="7" t="s">
        <v>118</v>
      </c>
      <c r="H33" s="7" t="s">
        <v>116</v>
      </c>
      <c r="I33" s="7" t="s">
        <v>115</v>
      </c>
      <c r="J33" s="10"/>
      <c r="K33" s="10">
        <v>25</v>
      </c>
      <c r="L33" s="10">
        <v>4774382.5</v>
      </c>
      <c r="M33" s="7" t="s">
        <v>153</v>
      </c>
      <c r="N33" s="7" t="s">
        <v>272</v>
      </c>
      <c r="O33" s="7" t="s">
        <v>299</v>
      </c>
      <c r="P33" s="7" t="s">
        <v>217</v>
      </c>
      <c r="Q33" s="7" t="s">
        <v>300</v>
      </c>
      <c r="R33" s="7" t="s">
        <v>301</v>
      </c>
      <c r="S33" s="7" t="s">
        <v>92</v>
      </c>
      <c r="T33" s="7" t="s">
        <v>119</v>
      </c>
      <c r="U33" s="7" t="s">
        <v>302</v>
      </c>
      <c r="V33" s="7" t="s">
        <v>303</v>
      </c>
    </row>
    <row r="34" ht="27" spans="1:22">
      <c r="A34" s="7" t="s">
        <v>304</v>
      </c>
      <c r="B34" s="7" t="s">
        <v>113</v>
      </c>
      <c r="C34" s="7" t="s">
        <v>151</v>
      </c>
      <c r="D34" s="7" t="s">
        <v>152</v>
      </c>
      <c r="E34" s="7" t="s">
        <v>87</v>
      </c>
      <c r="F34" s="7" t="s">
        <v>90</v>
      </c>
      <c r="G34" s="7" t="s">
        <v>305</v>
      </c>
      <c r="H34" s="7" t="s">
        <v>89</v>
      </c>
      <c r="I34" s="7" t="s">
        <v>88</v>
      </c>
      <c r="J34" s="10"/>
      <c r="K34" s="10">
        <v>25</v>
      </c>
      <c r="L34" s="10">
        <v>225.75</v>
      </c>
      <c r="M34" s="7" t="s">
        <v>153</v>
      </c>
      <c r="N34" s="7" t="s">
        <v>154</v>
      </c>
      <c r="O34" s="7" t="s">
        <v>306</v>
      </c>
      <c r="P34" s="7" t="s">
        <v>217</v>
      </c>
      <c r="Q34" s="7" t="s">
        <v>307</v>
      </c>
      <c r="R34" s="7" t="s">
        <v>308</v>
      </c>
      <c r="S34" s="7" t="s">
        <v>102</v>
      </c>
      <c r="T34" s="7" t="s">
        <v>309</v>
      </c>
      <c r="U34" s="7" t="s">
        <v>302</v>
      </c>
      <c r="V34" s="7" t="s">
        <v>303</v>
      </c>
    </row>
    <row r="35" ht="27" spans="1:22">
      <c r="A35" s="7" t="s">
        <v>310</v>
      </c>
      <c r="B35" s="7" t="s">
        <v>113</v>
      </c>
      <c r="C35" s="7" t="s">
        <v>151</v>
      </c>
      <c r="D35" s="7" t="s">
        <v>152</v>
      </c>
      <c r="E35" s="7" t="s">
        <v>87</v>
      </c>
      <c r="F35" s="7" t="s">
        <v>90</v>
      </c>
      <c r="G35" s="7" t="s">
        <v>311</v>
      </c>
      <c r="H35" s="7" t="s">
        <v>89</v>
      </c>
      <c r="I35" s="7" t="s">
        <v>88</v>
      </c>
      <c r="J35" s="10"/>
      <c r="K35" s="10">
        <v>150</v>
      </c>
      <c r="L35" s="10">
        <v>1860</v>
      </c>
      <c r="M35" s="7" t="s">
        <v>153</v>
      </c>
      <c r="N35" s="7" t="s">
        <v>154</v>
      </c>
      <c r="O35" s="7" t="s">
        <v>312</v>
      </c>
      <c r="P35" s="7" t="s">
        <v>217</v>
      </c>
      <c r="Q35" s="7" t="s">
        <v>307</v>
      </c>
      <c r="R35" s="7" t="s">
        <v>308</v>
      </c>
      <c r="S35" s="7" t="s">
        <v>102</v>
      </c>
      <c r="T35" s="7" t="s">
        <v>313</v>
      </c>
      <c r="U35" s="7" t="s">
        <v>302</v>
      </c>
      <c r="V35" s="7" t="s">
        <v>303</v>
      </c>
    </row>
    <row r="36" ht="27" spans="1:22">
      <c r="A36" s="7" t="s">
        <v>314</v>
      </c>
      <c r="B36" s="7" t="s">
        <v>113</v>
      </c>
      <c r="C36" s="7" t="s">
        <v>151</v>
      </c>
      <c r="D36" s="7" t="s">
        <v>152</v>
      </c>
      <c r="E36" s="7" t="s">
        <v>87</v>
      </c>
      <c r="F36" s="7" t="s">
        <v>90</v>
      </c>
      <c r="G36" s="7" t="s">
        <v>315</v>
      </c>
      <c r="H36" s="7" t="s">
        <v>89</v>
      </c>
      <c r="I36" s="7" t="s">
        <v>88</v>
      </c>
      <c r="J36" s="10"/>
      <c r="K36" s="10">
        <v>50</v>
      </c>
      <c r="L36" s="10">
        <v>622.5</v>
      </c>
      <c r="M36" s="7" t="s">
        <v>153</v>
      </c>
      <c r="N36" s="7" t="s">
        <v>154</v>
      </c>
      <c r="O36" s="7" t="s">
        <v>316</v>
      </c>
      <c r="P36" s="7" t="s">
        <v>217</v>
      </c>
      <c r="Q36" s="7" t="s">
        <v>307</v>
      </c>
      <c r="R36" s="7" t="s">
        <v>308</v>
      </c>
      <c r="S36" s="7" t="s">
        <v>102</v>
      </c>
      <c r="T36" s="7" t="s">
        <v>313</v>
      </c>
      <c r="U36" s="7" t="s">
        <v>302</v>
      </c>
      <c r="V36" s="7" t="s">
        <v>303</v>
      </c>
    </row>
    <row r="37" ht="27" spans="1:22">
      <c r="A37" s="7" t="s">
        <v>317</v>
      </c>
      <c r="B37" s="7" t="s">
        <v>113</v>
      </c>
      <c r="C37" s="7" t="s">
        <v>318</v>
      </c>
      <c r="D37" s="7" t="s">
        <v>152</v>
      </c>
      <c r="E37" s="7" t="s">
        <v>319</v>
      </c>
      <c r="F37" s="7" t="s">
        <v>320</v>
      </c>
      <c r="G37" s="7" t="s">
        <v>321</v>
      </c>
      <c r="H37" s="7" t="s">
        <v>322</v>
      </c>
      <c r="I37" s="7" t="s">
        <v>323</v>
      </c>
      <c r="J37" s="10"/>
      <c r="K37" s="10">
        <v>150</v>
      </c>
      <c r="L37" s="10">
        <v>1874.97</v>
      </c>
      <c r="M37" s="7" t="s">
        <v>153</v>
      </c>
      <c r="N37" s="7" t="s">
        <v>324</v>
      </c>
      <c r="O37" s="7" t="s">
        <v>325</v>
      </c>
      <c r="P37" s="7" t="s">
        <v>217</v>
      </c>
      <c r="Q37" s="7" t="s">
        <v>326</v>
      </c>
      <c r="R37" s="7" t="s">
        <v>327</v>
      </c>
      <c r="S37" s="7" t="s">
        <v>102</v>
      </c>
      <c r="T37" s="7" t="s">
        <v>328</v>
      </c>
      <c r="U37" s="7" t="s">
        <v>302</v>
      </c>
      <c r="V37" s="7" t="s">
        <v>303</v>
      </c>
    </row>
    <row r="38" ht="27" spans="1:22">
      <c r="A38" s="7" t="s">
        <v>329</v>
      </c>
      <c r="B38" s="7" t="s">
        <v>330</v>
      </c>
      <c r="C38" s="7" t="s">
        <v>151</v>
      </c>
      <c r="D38" s="7" t="s">
        <v>152</v>
      </c>
      <c r="E38" s="7" t="s">
        <v>331</v>
      </c>
      <c r="F38" s="7" t="s">
        <v>90</v>
      </c>
      <c r="G38" s="7" t="s">
        <v>332</v>
      </c>
      <c r="H38" s="7" t="s">
        <v>333</v>
      </c>
      <c r="I38" s="7" t="s">
        <v>88</v>
      </c>
      <c r="J38" s="10"/>
      <c r="K38" s="10">
        <v>1925</v>
      </c>
      <c r="L38" s="10">
        <v>21175</v>
      </c>
      <c r="M38" s="7" t="s">
        <v>334</v>
      </c>
      <c r="N38" s="7" t="s">
        <v>154</v>
      </c>
      <c r="O38" s="7" t="s">
        <v>335</v>
      </c>
      <c r="P38" s="7" t="s">
        <v>336</v>
      </c>
      <c r="Q38" s="7" t="s">
        <v>337</v>
      </c>
      <c r="R38" s="7" t="s">
        <v>338</v>
      </c>
      <c r="S38" s="7" t="s">
        <v>170</v>
      </c>
      <c r="T38" s="7" t="s">
        <v>339</v>
      </c>
      <c r="U38" s="7" t="s">
        <v>340</v>
      </c>
      <c r="V38" s="7" t="s">
        <v>341</v>
      </c>
    </row>
    <row r="39" ht="27" spans="1:22">
      <c r="A39" s="7" t="s">
        <v>342</v>
      </c>
      <c r="B39" s="7" t="s">
        <v>330</v>
      </c>
      <c r="C39" s="7" t="s">
        <v>151</v>
      </c>
      <c r="D39" s="7" t="s">
        <v>152</v>
      </c>
      <c r="E39" s="7" t="s">
        <v>331</v>
      </c>
      <c r="F39" s="7" t="s">
        <v>90</v>
      </c>
      <c r="G39" s="7" t="s">
        <v>343</v>
      </c>
      <c r="H39" s="7" t="s">
        <v>333</v>
      </c>
      <c r="I39" s="7" t="s">
        <v>88</v>
      </c>
      <c r="J39" s="10"/>
      <c r="K39" s="10">
        <v>1075</v>
      </c>
      <c r="L39" s="10">
        <v>17275.25</v>
      </c>
      <c r="M39" s="7" t="s">
        <v>334</v>
      </c>
      <c r="N39" s="7" t="s">
        <v>154</v>
      </c>
      <c r="O39" s="7" t="s">
        <v>344</v>
      </c>
      <c r="P39" s="7" t="s">
        <v>345</v>
      </c>
      <c r="Q39" s="7" t="s">
        <v>337</v>
      </c>
      <c r="R39" s="7" t="s">
        <v>338</v>
      </c>
      <c r="S39" s="7" t="s">
        <v>170</v>
      </c>
      <c r="T39" s="7" t="s">
        <v>339</v>
      </c>
      <c r="U39" s="7" t="s">
        <v>340</v>
      </c>
      <c r="V39" s="7" t="s">
        <v>341</v>
      </c>
    </row>
    <row r="40" ht="27" spans="1:22">
      <c r="A40" s="7" t="s">
        <v>346</v>
      </c>
      <c r="B40" s="7" t="s">
        <v>330</v>
      </c>
      <c r="C40" s="7" t="s">
        <v>151</v>
      </c>
      <c r="D40" s="7" t="s">
        <v>152</v>
      </c>
      <c r="E40" s="7" t="s">
        <v>331</v>
      </c>
      <c r="F40" s="7" t="s">
        <v>90</v>
      </c>
      <c r="G40" s="7" t="s">
        <v>347</v>
      </c>
      <c r="H40" s="7" t="s">
        <v>333</v>
      </c>
      <c r="I40" s="7" t="s">
        <v>88</v>
      </c>
      <c r="J40" s="10"/>
      <c r="K40" s="10">
        <v>25</v>
      </c>
      <c r="L40" s="10">
        <v>452.5</v>
      </c>
      <c r="M40" s="7" t="s">
        <v>334</v>
      </c>
      <c r="N40" s="7" t="s">
        <v>154</v>
      </c>
      <c r="O40" s="7" t="s">
        <v>348</v>
      </c>
      <c r="P40" s="7" t="s">
        <v>349</v>
      </c>
      <c r="Q40" s="7" t="s">
        <v>337</v>
      </c>
      <c r="R40" s="7" t="s">
        <v>338</v>
      </c>
      <c r="S40" s="7" t="s">
        <v>170</v>
      </c>
      <c r="T40" s="7" t="s">
        <v>339</v>
      </c>
      <c r="U40" s="7" t="s">
        <v>340</v>
      </c>
      <c r="V40" s="7" t="s">
        <v>341</v>
      </c>
    </row>
    <row r="41" ht="40.5" spans="1:22">
      <c r="A41" s="7" t="s">
        <v>350</v>
      </c>
      <c r="B41" s="7" t="s">
        <v>351</v>
      </c>
      <c r="C41" s="7" t="s">
        <v>266</v>
      </c>
      <c r="D41" s="7" t="s">
        <v>240</v>
      </c>
      <c r="E41" s="7" t="s">
        <v>87</v>
      </c>
      <c r="F41" s="7" t="s">
        <v>352</v>
      </c>
      <c r="G41" s="7" t="s">
        <v>353</v>
      </c>
      <c r="H41" s="7" t="s">
        <v>354</v>
      </c>
      <c r="I41" s="7" t="s">
        <v>355</v>
      </c>
      <c r="J41" s="10"/>
      <c r="K41" s="10">
        <v>19</v>
      </c>
      <c r="L41" s="10">
        <v>279197400</v>
      </c>
      <c r="M41" s="7" t="s">
        <v>272</v>
      </c>
      <c r="N41" s="7" t="s">
        <v>356</v>
      </c>
      <c r="O41" s="7" t="s">
        <v>357</v>
      </c>
      <c r="P41" s="7" t="s">
        <v>217</v>
      </c>
      <c r="Q41" s="7" t="s">
        <v>358</v>
      </c>
      <c r="R41" s="7" t="s">
        <v>359</v>
      </c>
      <c r="S41" s="7" t="s">
        <v>102</v>
      </c>
      <c r="T41" s="7" t="s">
        <v>360</v>
      </c>
      <c r="U41" s="7" t="s">
        <v>361</v>
      </c>
      <c r="V41" s="7" t="s">
        <v>362</v>
      </c>
    </row>
    <row r="42" ht="40.5" spans="1:22">
      <c r="A42" s="7" t="s">
        <v>363</v>
      </c>
      <c r="B42" s="7" t="s">
        <v>351</v>
      </c>
      <c r="C42" s="7" t="s">
        <v>266</v>
      </c>
      <c r="D42" s="7" t="s">
        <v>240</v>
      </c>
      <c r="E42" s="7" t="s">
        <v>364</v>
      </c>
      <c r="F42" s="7" t="s">
        <v>352</v>
      </c>
      <c r="G42" s="7" t="s">
        <v>365</v>
      </c>
      <c r="H42" s="7" t="s">
        <v>366</v>
      </c>
      <c r="I42" s="7" t="s">
        <v>355</v>
      </c>
      <c r="J42" s="10"/>
      <c r="K42" s="10">
        <v>76</v>
      </c>
      <c r="L42" s="10">
        <v>1197942400</v>
      </c>
      <c r="M42" s="7" t="s">
        <v>272</v>
      </c>
      <c r="N42" s="7" t="s">
        <v>356</v>
      </c>
      <c r="O42" s="7" t="s">
        <v>357</v>
      </c>
      <c r="P42" s="7" t="s">
        <v>217</v>
      </c>
      <c r="Q42" s="7" t="s">
        <v>358</v>
      </c>
      <c r="R42" s="7" t="s">
        <v>359</v>
      </c>
      <c r="S42" s="7" t="s">
        <v>102</v>
      </c>
      <c r="T42" s="7" t="s">
        <v>367</v>
      </c>
      <c r="U42" s="7" t="s">
        <v>361</v>
      </c>
      <c r="V42" s="7" t="s">
        <v>362</v>
      </c>
    </row>
    <row r="43" ht="40.5" spans="1:22">
      <c r="A43" s="7" t="s">
        <v>368</v>
      </c>
      <c r="B43" s="7" t="s">
        <v>351</v>
      </c>
      <c r="C43" s="7" t="s">
        <v>266</v>
      </c>
      <c r="D43" s="7" t="s">
        <v>240</v>
      </c>
      <c r="E43" s="7" t="s">
        <v>369</v>
      </c>
      <c r="F43" s="7" t="s">
        <v>352</v>
      </c>
      <c r="G43" s="7" t="s">
        <v>365</v>
      </c>
      <c r="H43" s="7" t="s">
        <v>366</v>
      </c>
      <c r="I43" s="7" t="s">
        <v>355</v>
      </c>
      <c r="J43" s="10"/>
      <c r="K43" s="10">
        <v>76000</v>
      </c>
      <c r="L43" s="10">
        <v>1191452000</v>
      </c>
      <c r="M43" s="7" t="s">
        <v>272</v>
      </c>
      <c r="N43" s="7" t="s">
        <v>356</v>
      </c>
      <c r="O43" s="7" t="s">
        <v>357</v>
      </c>
      <c r="P43" s="7" t="s">
        <v>217</v>
      </c>
      <c r="Q43" s="7" t="s">
        <v>358</v>
      </c>
      <c r="R43" s="7" t="s">
        <v>359</v>
      </c>
      <c r="S43" s="7" t="s">
        <v>102</v>
      </c>
      <c r="T43" s="7" t="s">
        <v>370</v>
      </c>
      <c r="U43" s="7" t="s">
        <v>361</v>
      </c>
      <c r="V43" s="7" t="s">
        <v>362</v>
      </c>
    </row>
    <row r="44" ht="40.5" spans="1:22">
      <c r="A44" s="7" t="s">
        <v>371</v>
      </c>
      <c r="B44" s="7" t="s">
        <v>351</v>
      </c>
      <c r="C44" s="7" t="s">
        <v>266</v>
      </c>
      <c r="D44" s="7" t="s">
        <v>240</v>
      </c>
      <c r="E44" s="7" t="s">
        <v>372</v>
      </c>
      <c r="F44" s="7" t="s">
        <v>352</v>
      </c>
      <c r="G44" s="7" t="s">
        <v>365</v>
      </c>
      <c r="H44" s="7" t="s">
        <v>366</v>
      </c>
      <c r="I44" s="7" t="s">
        <v>355</v>
      </c>
      <c r="J44" s="10"/>
      <c r="K44" s="10">
        <v>95</v>
      </c>
      <c r="L44" s="10">
        <v>1459702550</v>
      </c>
      <c r="M44" s="7" t="s">
        <v>272</v>
      </c>
      <c r="N44" s="7" t="s">
        <v>356</v>
      </c>
      <c r="O44" s="7" t="s">
        <v>357</v>
      </c>
      <c r="P44" s="7" t="s">
        <v>217</v>
      </c>
      <c r="Q44" s="7" t="s">
        <v>358</v>
      </c>
      <c r="R44" s="7" t="s">
        <v>359</v>
      </c>
      <c r="S44" s="7" t="s">
        <v>102</v>
      </c>
      <c r="T44" s="7" t="s">
        <v>373</v>
      </c>
      <c r="U44" s="7" t="s">
        <v>361</v>
      </c>
      <c r="V44" s="7" t="s">
        <v>362</v>
      </c>
    </row>
    <row r="45" ht="40.5" spans="1:22">
      <c r="A45" s="7" t="s">
        <v>374</v>
      </c>
      <c r="B45" s="7" t="s">
        <v>351</v>
      </c>
      <c r="C45" s="7" t="s">
        <v>266</v>
      </c>
      <c r="D45" s="7" t="s">
        <v>240</v>
      </c>
      <c r="E45" s="7" t="s">
        <v>375</v>
      </c>
      <c r="F45" s="7" t="s">
        <v>352</v>
      </c>
      <c r="G45" s="7" t="s">
        <v>365</v>
      </c>
      <c r="H45" s="7" t="s">
        <v>366</v>
      </c>
      <c r="I45" s="7" t="s">
        <v>355</v>
      </c>
      <c r="J45" s="10"/>
      <c r="K45" s="10">
        <v>19</v>
      </c>
      <c r="L45" s="10">
        <v>300327300</v>
      </c>
      <c r="M45" s="7" t="s">
        <v>272</v>
      </c>
      <c r="N45" s="7" t="s">
        <v>356</v>
      </c>
      <c r="O45" s="7" t="s">
        <v>357</v>
      </c>
      <c r="P45" s="7" t="s">
        <v>217</v>
      </c>
      <c r="Q45" s="7" t="s">
        <v>358</v>
      </c>
      <c r="R45" s="7" t="s">
        <v>359</v>
      </c>
      <c r="S45" s="7" t="s">
        <v>102</v>
      </c>
      <c r="T45" s="7" t="s">
        <v>376</v>
      </c>
      <c r="U45" s="7" t="s">
        <v>361</v>
      </c>
      <c r="V45" s="7" t="s">
        <v>362</v>
      </c>
    </row>
    <row r="46" ht="40.5" spans="1:22">
      <c r="A46" s="7" t="s">
        <v>121</v>
      </c>
      <c r="B46" s="7" t="s">
        <v>122</v>
      </c>
      <c r="C46" s="7" t="s">
        <v>377</v>
      </c>
      <c r="D46" s="7" t="s">
        <v>240</v>
      </c>
      <c r="E46" s="7" t="s">
        <v>123</v>
      </c>
      <c r="F46" s="7" t="s">
        <v>127</v>
      </c>
      <c r="G46" s="7" t="s">
        <v>128</v>
      </c>
      <c r="H46" s="7" t="s">
        <v>125</v>
      </c>
      <c r="I46" s="7" t="s">
        <v>124</v>
      </c>
      <c r="J46" s="10">
        <v>117132</v>
      </c>
      <c r="K46" s="10">
        <v>114</v>
      </c>
      <c r="L46" s="10"/>
      <c r="M46" s="7" t="s">
        <v>153</v>
      </c>
      <c r="N46" s="7" t="s">
        <v>356</v>
      </c>
      <c r="O46" s="7" t="s">
        <v>357</v>
      </c>
      <c r="P46" s="7" t="s">
        <v>378</v>
      </c>
      <c r="Q46" s="7" t="s">
        <v>379</v>
      </c>
      <c r="R46" s="7" t="s">
        <v>380</v>
      </c>
      <c r="S46" s="7" t="s">
        <v>102</v>
      </c>
      <c r="T46" s="7" t="s">
        <v>129</v>
      </c>
      <c r="U46" s="7" t="s">
        <v>361</v>
      </c>
      <c r="V46" s="7" t="s">
        <v>381</v>
      </c>
    </row>
    <row r="47" ht="40.5" spans="1:22">
      <c r="A47" s="7" t="s">
        <v>131</v>
      </c>
      <c r="B47" s="7" t="s">
        <v>122</v>
      </c>
      <c r="C47" s="7" t="s">
        <v>377</v>
      </c>
      <c r="D47" s="7" t="s">
        <v>240</v>
      </c>
      <c r="E47" s="7" t="s">
        <v>132</v>
      </c>
      <c r="F47" s="7" t="s">
        <v>127</v>
      </c>
      <c r="G47" s="7" t="s">
        <v>128</v>
      </c>
      <c r="H47" s="7" t="s">
        <v>125</v>
      </c>
      <c r="I47" s="7" t="s">
        <v>124</v>
      </c>
      <c r="J47" s="10">
        <v>78088</v>
      </c>
      <c r="K47" s="10">
        <v>76</v>
      </c>
      <c r="L47" s="10"/>
      <c r="M47" s="7" t="s">
        <v>153</v>
      </c>
      <c r="N47" s="7" t="s">
        <v>356</v>
      </c>
      <c r="O47" s="7" t="s">
        <v>357</v>
      </c>
      <c r="P47" s="7" t="s">
        <v>378</v>
      </c>
      <c r="Q47" s="7" t="s">
        <v>379</v>
      </c>
      <c r="R47" s="7" t="s">
        <v>380</v>
      </c>
      <c r="S47" s="7" t="s">
        <v>102</v>
      </c>
      <c r="T47" s="7" t="s">
        <v>129</v>
      </c>
      <c r="U47" s="7" t="s">
        <v>361</v>
      </c>
      <c r="V47" s="7" t="s">
        <v>381</v>
      </c>
    </row>
    <row r="48" ht="40.5" spans="1:22">
      <c r="A48" s="7" t="s">
        <v>382</v>
      </c>
      <c r="B48" s="7" t="s">
        <v>122</v>
      </c>
      <c r="C48" s="7" t="s">
        <v>383</v>
      </c>
      <c r="D48" s="7" t="s">
        <v>240</v>
      </c>
      <c r="E48" s="7" t="s">
        <v>384</v>
      </c>
      <c r="F48" s="7" t="s">
        <v>127</v>
      </c>
      <c r="G48" s="7" t="s">
        <v>128</v>
      </c>
      <c r="H48" s="7" t="s">
        <v>385</v>
      </c>
      <c r="I48" s="7" t="s">
        <v>124</v>
      </c>
      <c r="J48" s="10">
        <v>156176</v>
      </c>
      <c r="K48" s="10">
        <v>19</v>
      </c>
      <c r="L48" s="10"/>
      <c r="M48" s="7" t="s">
        <v>153</v>
      </c>
      <c r="N48" s="7" t="s">
        <v>356</v>
      </c>
      <c r="O48" s="7" t="s">
        <v>357</v>
      </c>
      <c r="P48" s="7" t="s">
        <v>386</v>
      </c>
      <c r="Q48" s="7" t="s">
        <v>387</v>
      </c>
      <c r="R48" s="7" t="s">
        <v>380</v>
      </c>
      <c r="S48" s="7" t="s">
        <v>170</v>
      </c>
      <c r="T48" s="7" t="s">
        <v>388</v>
      </c>
      <c r="U48" s="7" t="s">
        <v>361</v>
      </c>
      <c r="V48" s="7" t="s">
        <v>381</v>
      </c>
    </row>
    <row r="49" ht="40.5" spans="1:22">
      <c r="A49" s="7" t="s">
        <v>389</v>
      </c>
      <c r="B49" s="7" t="s">
        <v>390</v>
      </c>
      <c r="C49" s="7" t="s">
        <v>383</v>
      </c>
      <c r="D49" s="7" t="s">
        <v>240</v>
      </c>
      <c r="E49" s="7" t="s">
        <v>391</v>
      </c>
      <c r="F49" s="7" t="s">
        <v>127</v>
      </c>
      <c r="G49" s="7" t="s">
        <v>392</v>
      </c>
      <c r="H49" s="7" t="s">
        <v>393</v>
      </c>
      <c r="I49" s="7" t="s">
        <v>394</v>
      </c>
      <c r="J49" s="10">
        <v>231590</v>
      </c>
      <c r="K49" s="10">
        <v>19</v>
      </c>
      <c r="L49" s="10"/>
      <c r="M49" s="7" t="s">
        <v>246</v>
      </c>
      <c r="N49" s="7" t="s">
        <v>356</v>
      </c>
      <c r="O49" s="7" t="s">
        <v>357</v>
      </c>
      <c r="P49" s="7" t="s">
        <v>395</v>
      </c>
      <c r="Q49" s="7" t="s">
        <v>396</v>
      </c>
      <c r="R49" s="7" t="s">
        <v>397</v>
      </c>
      <c r="S49" s="7" t="s">
        <v>284</v>
      </c>
      <c r="T49" s="7" t="s">
        <v>398</v>
      </c>
      <c r="U49" s="7" t="s">
        <v>361</v>
      </c>
      <c r="V49" s="7" t="s">
        <v>399</v>
      </c>
    </row>
  </sheetData>
  <conditionalFormatting sqref="S2:S49">
    <cfRule type="containsText" dxfId="0" priority="1" operator="between" text="A">
      <formula>NOT(ISERROR(SEARCH("A",S2)))</formula>
    </cfRule>
    <cfRule type="containsText" dxfId="1" priority="2" operator="between" text="B+">
      <formula>NOT(ISERROR(SEARCH("B+",S2)))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showGridLines="0" workbookViewId="0">
      <selection activeCell="A1" sqref="A1:F1"/>
    </sheetView>
  </sheetViews>
  <sheetFormatPr defaultColWidth="9" defaultRowHeight="13.5" outlineLevelCol="5"/>
  <cols>
    <col min="1" max="1" width="28" customWidth="1"/>
    <col min="2" max="3" width="13" customWidth="1"/>
    <col min="4" max="4" width="34" customWidth="1"/>
    <col min="5" max="5" width="52" customWidth="1"/>
    <col min="6" max="6" width="42" customWidth="1"/>
  </cols>
  <sheetData>
    <row r="1" ht="32" customHeight="1" spans="1:6">
      <c r="A1" s="1" t="s">
        <v>400</v>
      </c>
    </row>
    <row r="2" ht="30" customHeight="1" spans="1:6">
      <c r="A2" s="2" t="s">
        <v>401</v>
      </c>
    </row>
    <row r="4" ht="30" customHeight="1" spans="1:6">
      <c r="A4" s="3" t="s">
        <v>133</v>
      </c>
      <c r="B4" s="3" t="s">
        <v>402</v>
      </c>
      <c r="C4" s="3" t="s">
        <v>403</v>
      </c>
      <c r="D4" s="3" t="s">
        <v>404</v>
      </c>
      <c r="E4" s="3" t="s">
        <v>405</v>
      </c>
      <c r="F4" s="3" t="s">
        <v>406</v>
      </c>
    </row>
    <row r="5" ht="27" spans="1:6">
      <c r="A5" s="7" t="s">
        <v>59</v>
      </c>
      <c r="B5" s="7">
        <v>40</v>
      </c>
      <c r="C5" s="7">
        <v>19</v>
      </c>
      <c r="D5" s="7" t="s">
        <v>407</v>
      </c>
      <c r="E5" s="7" t="s">
        <v>408</v>
      </c>
      <c r="F5" s="7" t="s">
        <v>409</v>
      </c>
    </row>
    <row r="6" spans="1:6">
      <c r="A6" s="7" t="s">
        <v>86</v>
      </c>
      <c r="B6" s="7">
        <v>1</v>
      </c>
      <c r="C6" s="7">
        <v>1</v>
      </c>
      <c r="D6" s="7" t="s">
        <v>410</v>
      </c>
      <c r="E6" s="7" t="s">
        <v>411</v>
      </c>
      <c r="F6" s="7" t="s">
        <v>412</v>
      </c>
    </row>
    <row r="7" spans="1:6">
      <c r="A7" s="7" t="s">
        <v>96</v>
      </c>
      <c r="B7" s="7">
        <v>3</v>
      </c>
      <c r="C7" s="7">
        <v>3</v>
      </c>
      <c r="D7" s="7" t="s">
        <v>410</v>
      </c>
      <c r="E7" s="7" t="s">
        <v>413</v>
      </c>
      <c r="F7" s="7" t="s">
        <v>414</v>
      </c>
    </row>
    <row r="8" spans="1:6">
      <c r="A8" s="7" t="s">
        <v>113</v>
      </c>
      <c r="B8" s="7">
        <v>19</v>
      </c>
      <c r="C8" s="7">
        <v>5</v>
      </c>
      <c r="D8" s="7" t="s">
        <v>410</v>
      </c>
      <c r="E8" s="7" t="s">
        <v>415</v>
      </c>
      <c r="F8" s="7" t="s">
        <v>416</v>
      </c>
    </row>
    <row r="9" spans="1:6">
      <c r="A9" s="7" t="s">
        <v>351</v>
      </c>
      <c r="B9" s="7">
        <v>6</v>
      </c>
      <c r="C9" s="7">
        <v>5</v>
      </c>
      <c r="D9" s="7" t="s">
        <v>417</v>
      </c>
      <c r="E9" s="7" t="s">
        <v>418</v>
      </c>
      <c r="F9" s="7" t="s">
        <v>419</v>
      </c>
    </row>
    <row r="10" spans="1:6">
      <c r="A10" s="7" t="s">
        <v>122</v>
      </c>
      <c r="B10" s="7">
        <v>486</v>
      </c>
      <c r="C10" s="7">
        <v>3</v>
      </c>
      <c r="D10" s="7" t="s">
        <v>420</v>
      </c>
      <c r="E10" s="7" t="s">
        <v>421</v>
      </c>
      <c r="F10" s="7" t="s">
        <v>422</v>
      </c>
    </row>
    <row r="11" spans="1:6">
      <c r="A11" s="7" t="s">
        <v>239</v>
      </c>
      <c r="B11" s="7">
        <v>11</v>
      </c>
      <c r="C11" s="7">
        <v>3</v>
      </c>
      <c r="D11" s="7" t="s">
        <v>423</v>
      </c>
      <c r="E11" s="7" t="s">
        <v>424</v>
      </c>
      <c r="F11" s="7" t="s">
        <v>425</v>
      </c>
    </row>
    <row r="12" ht="27" spans="1:6">
      <c r="A12" s="7" t="s">
        <v>265</v>
      </c>
      <c r="B12" s="7">
        <v>310</v>
      </c>
      <c r="C12" s="7">
        <v>3</v>
      </c>
      <c r="D12" s="7" t="s">
        <v>426</v>
      </c>
      <c r="E12" s="7" t="s">
        <v>427</v>
      </c>
      <c r="F12" s="7" t="s">
        <v>428</v>
      </c>
    </row>
    <row r="13" spans="1:6">
      <c r="A13" s="7" t="s">
        <v>287</v>
      </c>
      <c r="B13" s="7">
        <v>1192</v>
      </c>
      <c r="C13" s="7">
        <v>2</v>
      </c>
      <c r="D13" s="7" t="s">
        <v>426</v>
      </c>
      <c r="E13" s="7" t="s">
        <v>429</v>
      </c>
      <c r="F13" s="7" t="s">
        <v>430</v>
      </c>
    </row>
    <row r="14" spans="1:6">
      <c r="A14" s="7" t="s">
        <v>330</v>
      </c>
      <c r="B14" s="7">
        <v>122</v>
      </c>
      <c r="C14" s="7">
        <v>3</v>
      </c>
      <c r="D14" s="7" t="s">
        <v>431</v>
      </c>
      <c r="E14" s="7" t="s">
        <v>432</v>
      </c>
      <c r="F14" s="7" t="s">
        <v>433</v>
      </c>
    </row>
  </sheetData>
  <mergeCells count="2">
    <mergeCell ref="A1:F1"/>
    <mergeCell ref="A2:F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workbookViewId="0">
      <selection activeCell="A1" sqref="A1:C1"/>
    </sheetView>
  </sheetViews>
  <sheetFormatPr defaultColWidth="9" defaultRowHeight="13.5" outlineLevelCol="2"/>
  <cols>
    <col min="1" max="1" width="18" customWidth="1"/>
    <col min="2" max="2" width="62" customWidth="1"/>
    <col min="3" max="3" width="52" customWidth="1"/>
  </cols>
  <sheetData>
    <row r="1" ht="32" customHeight="1" spans="1:3">
      <c r="A1" s="1" t="s">
        <v>434</v>
      </c>
    </row>
    <row r="2" ht="30" customHeight="1" spans="1:3">
      <c r="A2" s="2" t="s">
        <v>435</v>
      </c>
    </row>
    <row r="4" ht="30" customHeight="1" spans="1:3">
      <c r="A4" s="3" t="s">
        <v>436</v>
      </c>
      <c r="B4" s="3" t="s">
        <v>437</v>
      </c>
      <c r="C4" s="3" t="s">
        <v>438</v>
      </c>
    </row>
    <row r="5" spans="1:3">
      <c r="A5" s="4" t="s">
        <v>66</v>
      </c>
      <c r="B5" s="4" t="s">
        <v>439</v>
      </c>
      <c r="C5" s="4" t="s">
        <v>440</v>
      </c>
    </row>
    <row r="6" spans="1:3">
      <c r="A6" s="5" t="s">
        <v>92</v>
      </c>
      <c r="B6" s="5" t="s">
        <v>441</v>
      </c>
      <c r="C6" s="5" t="s">
        <v>442</v>
      </c>
    </row>
    <row r="7" spans="1:3">
      <c r="A7" s="6" t="s">
        <v>102</v>
      </c>
      <c r="B7" s="6" t="s">
        <v>443</v>
      </c>
      <c r="C7" s="6" t="s">
        <v>444</v>
      </c>
    </row>
    <row r="8" spans="1:3">
      <c r="A8" s="7" t="s">
        <v>170</v>
      </c>
      <c r="B8" s="7" t="s">
        <v>445</v>
      </c>
      <c r="C8" s="7" t="s">
        <v>446</v>
      </c>
    </row>
    <row r="9" spans="1:3">
      <c r="A9" s="7" t="s">
        <v>284</v>
      </c>
      <c r="B9" s="7" t="s">
        <v>447</v>
      </c>
      <c r="C9" s="7" t="s">
        <v>448</v>
      </c>
    </row>
    <row r="10" ht="27" spans="1:3">
      <c r="A10" s="8" t="s">
        <v>449</v>
      </c>
      <c r="B10" s="8" t="s">
        <v>450</v>
      </c>
      <c r="C10" s="8" t="s">
        <v>451</v>
      </c>
    </row>
    <row r="12" ht="58" customHeight="1" spans="1:3">
      <c r="A12" s="9" t="s">
        <v>452</v>
      </c>
      <c r="B12" s="9"/>
      <c r="C12" s="9"/>
    </row>
  </sheetData>
  <mergeCells count="3">
    <mergeCell ref="A1:C1"/>
    <mergeCell ref="A2:C2"/>
    <mergeCell ref="A12:C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风险总览</vt:lpstr>
      <vt:lpstr>高风险线索</vt:lpstr>
      <vt:lpstr>原始明细</vt:lpstr>
      <vt:lpstr>查询汇总</vt:lpstr>
      <vt:lpstr>核查规则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落花吹雪</cp:lastModifiedBy>
  <dcterms:created xsi:type="dcterms:W3CDTF">2026-08-08T14:17:42Z</dcterms:created>
  <dcterms:modified xsi:type="dcterms:W3CDTF">2026-08-10T12:32:18Z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09FC145CD2C44FB18BF544BCD003CCD6_12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