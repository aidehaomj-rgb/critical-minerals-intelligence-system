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61b6946ba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源最新日期" sheetId="1" r:id="Re8381a637d724a25"/>
    <x:sheet xmlns:r="http://schemas.openxmlformats.org/officeDocument/2006/relationships" name="摘要" sheetId="2" r:id="R9c32719ceef8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</x:fills>
  <x:borders count="8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745a77729413b" /><Relationship Type="http://schemas.openxmlformats.org/officeDocument/2006/relationships/theme" Target="/xl/theme/theme1.xml" Id="Rcdfba7ea374e4947" /><Relationship Type="http://schemas.openxmlformats.org/officeDocument/2006/relationships/sharedStrings" Target="/xl/sharedStrings.xml" Id="R18276c4bffbb46ae" /><Relationship Type="http://schemas.openxmlformats.org/officeDocument/2006/relationships/worksheet" Target="/xl/worksheets/sheet1.xml" Id="Re8381a637d724a25" /><Relationship Type="http://schemas.openxmlformats.org/officeDocument/2006/relationships/worksheet" Target="/xl/worksheets/sheet2.xml" Id="R9c32719ceef8487e" /></Relationships>
</file>

<file path=xl/tables/table1.xml><?xml version="1.0" encoding="utf-8"?>
<x:table xmlns:x="http://schemas.openxmlformats.org/spreadsheetml/2006/main" id="1" name="YixunLatestDates" displayName="YixunLatestDates" ref="A4:K77" headerRowCount="1" totalsRowCount="0" totalsRowShown="0">
  <x:tableColumns count="11">
    <x:tableColumn id="1" name="洲别"/>
    <x:tableColumn id="2" name="数据源名称"/>
    <x:tableColumn id="3" name="基础国家/地区"/>
    <x:tableColumn id="4" name="数据版本"/>
    <x:tableColumn id="5" name="最早日期"/>
    <x:tableColumn id="6" name="最新日期"/>
    <x:tableColumn id="7" name="距查询日天数"/>
    <x:tableColumn id="8" name="时效分级"/>
    <x:tableColumn id="9" name="页面URL"/>
    <x:tableColumn id="10" name="查询时间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354c2721a48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2" hidden="0" customWidth="1"/>
    <x:col min="9" max="9" width="56" hidden="0" customWidth="1"/>
    <x:col min="10" max="10" width="20" hidden="0" customWidth="1"/>
    <x:col min="11" max="11" width="28" hidden="0" customWidth="1"/>
  </x:cols>
  <x:sheetData>
    <x:row r="1" ht="30" customHeight="1">
      <x:c r="A1" s="3" t="str">
        <x:v>易讯数据各国家/数据源最新日期清单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口径：查询页日期选择器的默认可选范围；最新日期为该控件上限，不代表已逐条验证当日存在实际记录。查询日期：2026-08-08（北京时间）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6" customHeight="1">
      <x:c r="A4" s="16" t="str">
        <x:v>洲别</x:v>
      </x:c>
      <x:c r="B4" s="17" t="str">
        <x:v>数据源名称</x:v>
      </x:c>
      <x:c r="C4" s="17" t="str">
        <x:v>基础国家/地区</x:v>
      </x:c>
      <x:c r="D4" s="17" t="str">
        <x:v>数据版本</x:v>
      </x:c>
      <x:c r="E4" s="17" t="str">
        <x:v>最早日期</x:v>
      </x:c>
      <x:c r="F4" s="17" t="str">
        <x:v>最新日期</x:v>
      </x:c>
      <x:c r="G4" s="17" t="str">
        <x:v>距查询日天数</x:v>
      </x:c>
      <x:c r="H4" s="17" t="str">
        <x:v>时效分级</x:v>
      </x:c>
      <x:c r="I4" s="17" t="str">
        <x:v>页面URL</x:v>
      </x:c>
      <x:c r="J4" s="17" t="str">
        <x:v>查询时间</x:v>
      </x:c>
      <x:c r="K4" s="18" t="str">
        <x:v>备注</x:v>
      </x:c>
    </x:row>
    <x:row r="5">
      <x:c r="A5" s="23" t="str">
        <x:v>北美洲</x:v>
      </x:c>
      <x:c r="B5" s="23" t="str">
        <x:v>美国</x:v>
      </x:c>
      <x:c r="C5" s="23" t="str">
        <x:v>美国</x:v>
      </x:c>
      <x:c r="D5" s="23" t="str">
        <x:v>标准库</x:v>
      </x:c>
      <x:c r="E5" s="26" t="n">
        <x:v>45142</x:v>
      </x:c>
      <x:c r="F5" s="26" t="n">
        <x:v>46238</x:v>
      </x:c>
      <x:c r="G5" s="29" t="n">
        <x:f>IF(F5="","",DATE(2026,8,8)-F5)</x:f>
        <x:v>4</x:v>
      </x:c>
      <x:c r="H5" s="23" t="str">
        <x:f>IF(G5="","无法判定",IF(G5&lt;=120,"近期",IF(G5&lt;=365,"较新",IF(G5&lt;=1095,"滞后","严重滞后"))))</x:f>
        <x:v>近期</x:v>
      </x:c>
      <x:c r="I5" s="23" t="str">
        <x:v>https://dd.data1688.com/custom/countrySearch?country=%E7%BE%8E%E5%9B%BD&amp;imgUrl=US.png&amp;defaultType=0</x:v>
      </x:c>
      <x:c r="J5" s="23" t="str">
        <x:v>2026-08-08 18:00 CST</x:v>
      </x:c>
      <x:c r="K5" s="23" t="str">
        <x:v>日期控件可读取</x:v>
      </x:c>
    </x:row>
    <x:row r="6">
      <x:c r="A6" s="24" t="str">
        <x:v>北美洲</x:v>
      </x:c>
      <x:c r="B6" s="24" t="str">
        <x:v>墨西哥</x:v>
      </x:c>
      <x:c r="C6" s="24" t="str">
        <x:v>墨西哥</x:v>
      </x:c>
      <x:c r="D6" s="24" t="str">
        <x:v>标准库</x:v>
      </x:c>
      <x:c r="E6" s="27" t="n">
        <x:v>43921</x:v>
      </x:c>
      <x:c r="F6" s="27" t="n">
        <x:v>45016</x:v>
      </x:c>
      <x:c r="G6" s="30" t="n">
        <x:f>IF(F6="","",DATE(2026,8,8)-F6)</x:f>
        <x:v>1226</x:v>
      </x:c>
      <x:c r="H6" s="24" t="str">
        <x:f>IF(G6="","无法判定",IF(G6&lt;=120,"近期",IF(G6&lt;=365,"较新",IF(G6&lt;=1095,"滞后","严重滞后"))))</x:f>
        <x:v>严重滞后</x:v>
      </x:c>
      <x:c r="I6" s="24" t="str">
        <x:v>https://dd.data1688.com/custom/countrySearch?country=%E5%A2%A8%E8%A5%BF%E5%93%A5&amp;imgUrl=MX.png&amp;defaultType=0</x:v>
      </x:c>
      <x:c r="J6" s="24" t="str">
        <x:v>2026-08-08 18:00 CST</x:v>
      </x:c>
      <x:c r="K6" s="24" t="str">
        <x:v>日期控件可读取</x:v>
      </x:c>
    </x:row>
    <x:row r="7">
      <x:c r="A7" s="24" t="str">
        <x:v>北美洲</x:v>
      </x:c>
      <x:c r="B7" s="24" t="str">
        <x:v>墨西哥全港</x:v>
      </x:c>
      <x:c r="C7" s="24" t="str">
        <x:v>墨西哥</x:v>
      </x:c>
      <x:c r="D7" s="24" t="str">
        <x:v>全港</x:v>
      </x:c>
      <x:c r="E7" s="27" t="n">
        <x:v>45077</x:v>
      </x:c>
      <x:c r="F7" s="27" t="n">
        <x:v>46173</x:v>
      </x:c>
      <x:c r="G7" s="30" t="n">
        <x:f>IF(F7="","",DATE(2026,8,8)-F7)</x:f>
        <x:v>69</x:v>
      </x:c>
      <x:c r="H7" s="24" t="str">
        <x:f>IF(G7="","无法判定",IF(G7&lt;=120,"近期",IF(G7&lt;=365,"较新",IF(G7&lt;=1095,"滞后","严重滞后"))))</x:f>
        <x:v>近期</x:v>
      </x:c>
      <x:c r="I7" s="24" t="str">
        <x:v>https://dd.data1688.com/custom/countrySearch?country=%E5%A2%A8%E8%A5%BF%E5%93%A5%E5%85%A8%E6%B8%AF&amp;imgUrl=MX.png&amp;defaultType=0</x:v>
      </x:c>
      <x:c r="J7" s="24" t="str">
        <x:v>2026-08-08 18:00 CST</x:v>
      </x:c>
      <x:c r="K7" s="24" t="str">
        <x:v>日期控件可读取</x:v>
      </x:c>
    </x:row>
    <x:row r="8">
      <x:c r="A8" s="24" t="str">
        <x:v>北美洲</x:v>
      </x:c>
      <x:c r="B8" s="24" t="str">
        <x:v>巴拿马</x:v>
      </x:c>
      <x:c r="C8" s="24" t="str">
        <x:v>巴拿马</x:v>
      </x:c>
      <x:c r="D8" s="24" t="str">
        <x:v>标准库</x:v>
      </x:c>
      <x:c r="E8" s="27" t="n">
        <x:v>45107</x:v>
      </x:c>
      <x:c r="F8" s="27" t="n">
        <x:v>46203</x:v>
      </x:c>
      <x:c r="G8" s="30" t="n">
        <x:f>IF(F8="","",DATE(2026,8,8)-F8)</x:f>
        <x:v>39</x:v>
      </x:c>
      <x:c r="H8" s="24" t="str">
        <x:f>IF(G8="","无法判定",IF(G8&lt;=120,"近期",IF(G8&lt;=365,"较新",IF(G8&lt;=1095,"滞后","严重滞后"))))</x:f>
        <x:v>近期</x:v>
      </x:c>
      <x:c r="I8" s="24" t="str">
        <x:v>https://dd.data1688.com/custom/countrySearch?country=%E5%B7%B4%E6%8B%BF%E9%A9%AC&amp;imgUrl=PA.png&amp;defaultType=0</x:v>
      </x:c>
      <x:c r="J8" s="24" t="str">
        <x:v>2026-08-08 18:00 CST</x:v>
      </x:c>
      <x:c r="K8" s="24" t="str">
        <x:v>日期控件可读取</x:v>
      </x:c>
    </x:row>
    <x:row r="9">
      <x:c r="A9" s="24" t="str">
        <x:v>北美洲</x:v>
      </x:c>
      <x:c r="B9" s="24" t="str">
        <x:v>哥斯达黎加</x:v>
      </x:c>
      <x:c r="C9" s="24" t="str">
        <x:v>哥斯达黎加</x:v>
      </x:c>
      <x:c r="D9" s="24" t="str">
        <x:v>标准库</x:v>
      </x:c>
      <x:c r="E9" s="27" t="n">
        <x:v>45016</x:v>
      </x:c>
      <x:c r="F9" s="27" t="n">
        <x:v>46112</x:v>
      </x:c>
      <x:c r="G9" s="30" t="n">
        <x:f>IF(F9="","",DATE(2026,8,8)-F9)</x:f>
        <x:v>130</x:v>
      </x:c>
      <x:c r="H9" s="24" t="str">
        <x:f>IF(G9="","无法判定",IF(G9&lt;=120,"近期",IF(G9&lt;=365,"较新",IF(G9&lt;=1095,"滞后","严重滞后"))))</x:f>
        <x:v>较新</x:v>
      </x:c>
      <x:c r="I9" s="24" t="str">
        <x:v>https://dd.data1688.com/custom/countrySearch?country=%E5%93%A5%E6%96%AF%E8%BE%BE%E9%BB%8E%E5%8A%A0&amp;imgUrl=CR.png&amp;defaultType=0</x:v>
      </x:c>
      <x:c r="J9" s="24" t="str">
        <x:v>2026-08-08 18:00 CST</x:v>
      </x:c>
      <x:c r="K9" s="24" t="str">
        <x:v>日期控件可读取</x:v>
      </x:c>
    </x:row>
    <x:row r="10">
      <x:c r="A10" s="24" t="str">
        <x:v>北美洲</x:v>
      </x:c>
      <x:c r="B10" s="24" t="str">
        <x:v>危地马拉</x:v>
      </x:c>
      <x:c r="C10" s="24" t="str">
        <x:v>危地马拉</x:v>
      </x:c>
      <x:c r="D10" s="24" t="str">
        <x:v>标准库</x:v>
      </x:c>
      <x:c r="E10" s="27" t="n">
        <x:v>42583</x:v>
      </x:c>
      <x:c r="F10" s="27" t="n">
        <x:v>43678</x:v>
      </x:c>
      <x:c r="G10" s="30" t="n">
        <x:f>IF(F10="","",DATE(2026,8,8)-F10)</x:f>
        <x:v>2564</x:v>
      </x:c>
      <x:c r="H10" s="24" t="str">
        <x:f>IF(G10="","无法判定",IF(G10&lt;=120,"近期",IF(G10&lt;=365,"较新",IF(G10&lt;=1095,"滞后","严重滞后"))))</x:f>
        <x:v>严重滞后</x:v>
      </x:c>
      <x:c r="I10" s="24" t="str">
        <x:v>https://dd.data1688.com/custom/countrySearch?country=%E5%8D%B1%E5%9C%B0%E9%A9%AC%E6%8B%89&amp;imgUrl=GT.png&amp;defaultType=0</x:v>
      </x:c>
      <x:c r="J10" s="24" t="str">
        <x:v>2026-08-08 18:00 CST</x:v>
      </x:c>
      <x:c r="K10" s="24" t="str">
        <x:v>日期控件可读取</x:v>
      </x:c>
    </x:row>
    <x:row r="11">
      <x:c r="A11" s="24" t="str">
        <x:v>北美洲</x:v>
      </x:c>
      <x:c r="B11" s="24" t="str">
        <x:v>加拿大</x:v>
      </x:c>
      <x:c r="C11" s="24" t="str">
        <x:v>加拿大</x:v>
      </x:c>
      <x:c r="D11" s="24" t="str">
        <x:v>标准库</x:v>
      </x:c>
      <x:c r="E11" s="27" t="n">
        <x:v>43466</x:v>
      </x:c>
      <x:c r="F11" s="27" t="n">
        <x:v>44562</x:v>
      </x:c>
      <x:c r="G11" s="30" t="n">
        <x:f>IF(F11="","",DATE(2026,8,8)-F11)</x:f>
        <x:v>1680</x:v>
      </x:c>
      <x:c r="H11" s="24" t="str">
        <x:f>IF(G11="","无法判定",IF(G11&lt;=120,"近期",IF(G11&lt;=365,"较新",IF(G11&lt;=1095,"滞后","严重滞后"))))</x:f>
        <x:v>严重滞后</x:v>
      </x:c>
      <x:c r="I11" s="24" t="str">
        <x:v>https://dd.data1688.com/custom/countrySearch?country=%E5%8A%A0%E6%8B%BF%E5%A4%A7&amp;imgUrl=CA.png&amp;defaultType=0</x:v>
      </x:c>
      <x:c r="J11" s="24" t="str">
        <x:v>2026-08-08 18:00 CST</x:v>
      </x:c>
      <x:c r="K11" s="24" t="str">
        <x:v>日期控件可读取</x:v>
      </x:c>
    </x:row>
    <x:row r="12">
      <x:c r="A12" s="24" t="str">
        <x:v>北美洲</x:v>
      </x:c>
      <x:c r="B12" s="24" t="str">
        <x:v>洪都拉斯</x:v>
      </x:c>
      <x:c r="C12" s="24" t="str">
        <x:v>洪都拉斯</x:v>
      </x:c>
      <x:c r="D12" s="24" t="str">
        <x:v>标准库</x:v>
      </x:c>
      <x:c r="E12" s="27" t="n">
        <x:v>40174</x:v>
      </x:c>
      <x:c r="F12" s="27" t="n">
        <x:v>41270</x:v>
      </x:c>
      <x:c r="G12" s="30" t="n">
        <x:f>IF(F12="","",DATE(2026,8,8)-F12)</x:f>
        <x:v>4972</x:v>
      </x:c>
      <x:c r="H12" s="24" t="str">
        <x:f>IF(G12="","无法判定",IF(G12&lt;=120,"近期",IF(G12&lt;=365,"较新",IF(G12&lt;=1095,"滞后","严重滞后"))))</x:f>
        <x:v>严重滞后</x:v>
      </x:c>
      <x:c r="I12" s="24" t="str">
        <x:v>https://dd.data1688.com/custom/countrySearch?country=%E6%B4%AA%E9%83%BD%E6%8B%89%E6%96%AF&amp;imgUrl=HN.png&amp;defaultType=0</x:v>
      </x:c>
      <x:c r="J12" s="24" t="str">
        <x:v>2026-08-08 18:00 CST</x:v>
      </x:c>
      <x:c r="K12" s="24" t="str">
        <x:v>日期控件可读取</x:v>
      </x:c>
    </x:row>
    <x:row r="13">
      <x:c r="A13" s="24" t="str">
        <x:v>北美洲</x:v>
      </x:c>
      <x:c r="B13" s="24" t="str">
        <x:v>尼加拉瓜</x:v>
      </x:c>
      <x:c r="C13" s="24" t="str">
        <x:v>尼加拉瓜</x:v>
      </x:c>
      <x:c r="D13" s="24" t="str">
        <x:v>标准库</x:v>
      </x:c>
      <x:c r="E13" s="27" t="n">
        <x:v>40171</x:v>
      </x:c>
      <x:c r="F13" s="27" t="n">
        <x:v>41267</x:v>
      </x:c>
      <x:c r="G13" s="30" t="n">
        <x:f>IF(F13="","",DATE(2026,8,8)-F13)</x:f>
        <x:v>4975</x:v>
      </x:c>
      <x:c r="H13" s="24" t="str">
        <x:f>IF(G13="","无法判定",IF(G13&lt;=120,"近期",IF(G13&lt;=365,"较新",IF(G13&lt;=1095,"滞后","严重滞后"))))</x:f>
        <x:v>严重滞后</x:v>
      </x:c>
      <x:c r="I13" s="24" t="str">
        <x:v>https://dd.data1688.com/custom/countrySearch?country=%E5%B0%BC%E5%8A%A0%E6%8B%89%E7%93%9C&amp;imgUrl=NI.png&amp;defaultType=0</x:v>
      </x:c>
      <x:c r="J13" s="24" t="str">
        <x:v>2026-08-08 18:00 CST</x:v>
      </x:c>
      <x:c r="K13" s="24" t="str">
        <x:v>日期控件可读取</x:v>
      </x:c>
    </x:row>
    <x:row r="14">
      <x:c r="A14" s="24" t="str">
        <x:v>北美洲</x:v>
      </x:c>
      <x:c r="B14" s="24" t="str">
        <x:v>萨尔瓦多</x:v>
      </x:c>
      <x:c r="C14" s="24" t="str">
        <x:v>萨尔瓦多</x:v>
      </x:c>
      <x:c r="D14" s="24" t="str">
        <x:v>标准库</x:v>
      </x:c>
      <x:c r="E14" s="27" t="n">
        <x:v>40177</x:v>
      </x:c>
      <x:c r="F14" s="27" t="n">
        <x:v>41273</x:v>
      </x:c>
      <x:c r="G14" s="30" t="n">
        <x:f>IF(F14="","",DATE(2026,8,8)-F14)</x:f>
        <x:v>4969</x:v>
      </x:c>
      <x:c r="H14" s="24" t="str">
        <x:f>IF(G14="","无法判定",IF(G14&lt;=120,"近期",IF(G14&lt;=365,"较新",IF(G14&lt;=1095,"滞后","严重滞后"))))</x:f>
        <x:v>严重滞后</x:v>
      </x:c>
      <x:c r="I14" s="24" t="str">
        <x:v>https://dd.data1688.com/custom/countrySearch?country=%E8%90%A8%E5%B0%94%E7%93%A6%E5%A4%9A&amp;imgUrl=SV.png&amp;defaultType=0</x:v>
      </x:c>
      <x:c r="J14" s="24" t="str">
        <x:v>2026-08-08 18:00 CST</x:v>
      </x:c>
      <x:c r="K14" s="24" t="str">
        <x:v>日期控件可读取</x:v>
      </x:c>
    </x:row>
    <x:row r="15">
      <x:c r="A15" s="24" t="str">
        <x:v>南美洲</x:v>
      </x:c>
      <x:c r="B15" s="24" t="str">
        <x:v>阿根廷</x:v>
      </x:c>
      <x:c r="C15" s="24" t="str">
        <x:v>阿根廷</x:v>
      </x:c>
      <x:c r="D15" s="24" t="str">
        <x:v>标准库</x:v>
      </x:c>
      <x:c r="E15" s="27" t="n">
        <x:v>45077</x:v>
      </x:c>
      <x:c r="F15" s="27" t="n">
        <x:v>46173</x:v>
      </x:c>
      <x:c r="G15" s="30" t="n">
        <x:f>IF(F15="","",DATE(2026,8,8)-F15)</x:f>
        <x:v>69</x:v>
      </x:c>
      <x:c r="H15" s="24" t="str">
        <x:f>IF(G15="","无法判定",IF(G15&lt;=120,"近期",IF(G15&lt;=365,"较新",IF(G15&lt;=1095,"滞后","严重滞后"))))</x:f>
        <x:v>近期</x:v>
      </x:c>
      <x:c r="I15" s="24" t="str">
        <x:v>https://dd.data1688.com/custom/countrySearch?country=%E9%98%BF%E6%A0%B9%E5%BB%B7&amp;imgUrl=AR.png&amp;defaultType=0</x:v>
      </x:c>
      <x:c r="J15" s="24" t="str">
        <x:v>2026-08-08 18:00 CST</x:v>
      </x:c>
      <x:c r="K15" s="24" t="str">
        <x:v>日期控件可读取</x:v>
      </x:c>
    </x:row>
    <x:row r="16">
      <x:c r="A16" s="24" t="str">
        <x:v>南美洲</x:v>
      </x:c>
      <x:c r="B16" s="24" t="str">
        <x:v>智利</x:v>
      </x:c>
      <x:c r="C16" s="24" t="str">
        <x:v>智利</x:v>
      </x:c>
      <x:c r="D16" s="24" t="str">
        <x:v>标准库</x:v>
      </x:c>
      <x:c r="E16" s="27" t="n">
        <x:v>45077</x:v>
      </x:c>
      <x:c r="F16" s="27" t="n">
        <x:v>46173</x:v>
      </x:c>
      <x:c r="G16" s="30" t="n">
        <x:f>IF(F16="","",DATE(2026,8,8)-F16)</x:f>
        <x:v>69</x:v>
      </x:c>
      <x:c r="H16" s="24" t="str">
        <x:f>IF(G16="","无法判定",IF(G16&lt;=120,"近期",IF(G16&lt;=365,"较新",IF(G16&lt;=1095,"滞后","严重滞后"))))</x:f>
        <x:v>近期</x:v>
      </x:c>
      <x:c r="I16" s="24" t="str">
        <x:v>https://dd.data1688.com/custom/countrySearch?country=%E6%99%BA%E5%88%A9&amp;imgUrl=CL.png&amp;defaultType=0</x:v>
      </x:c>
      <x:c r="J16" s="24" t="str">
        <x:v>2026-08-08 18:00 CST</x:v>
      </x:c>
      <x:c r="K16" s="24" t="str">
        <x:v>日期控件可读取</x:v>
      </x:c>
    </x:row>
    <x:row r="17">
      <x:c r="A17" s="24" t="str">
        <x:v>南美洲</x:v>
      </x:c>
      <x:c r="B17" s="24" t="str">
        <x:v>秘鲁</x:v>
      </x:c>
      <x:c r="C17" s="24" t="str">
        <x:v>秘鲁</x:v>
      </x:c>
      <x:c r="D17" s="24" t="str">
        <x:v>标准库</x:v>
      </x:c>
      <x:c r="E17" s="27" t="n">
        <x:v>45107</x:v>
      </x:c>
      <x:c r="F17" s="27" t="n">
        <x:v>46203</x:v>
      </x:c>
      <x:c r="G17" s="30" t="n">
        <x:f>IF(F17="","",DATE(2026,8,8)-F17)</x:f>
        <x:v>39</x:v>
      </x:c>
      <x:c r="H17" s="24" t="str">
        <x:f>IF(G17="","无法判定",IF(G17&lt;=120,"近期",IF(G17&lt;=365,"较新",IF(G17&lt;=1095,"滞后","严重滞后"))))</x:f>
        <x:v>近期</x:v>
      </x:c>
      <x:c r="I17" s="24" t="str">
        <x:v>https://dd.data1688.com/custom/countrySearch?country=%E7%A7%98%E9%B2%81&amp;imgUrl=PE.png&amp;defaultType=0</x:v>
      </x:c>
      <x:c r="J17" s="24" t="str">
        <x:v>2026-08-08 18:00 CST</x:v>
      </x:c>
      <x:c r="K17" s="24" t="str">
        <x:v>日期控件可读取</x:v>
      </x:c>
    </x:row>
    <x:row r="18">
      <x:c r="A18" s="24" t="str">
        <x:v>南美洲</x:v>
      </x:c>
      <x:c r="B18" s="24" t="str">
        <x:v>哥伦比亚</x:v>
      </x:c>
      <x:c r="C18" s="24" t="str">
        <x:v>哥伦比亚</x:v>
      </x:c>
      <x:c r="D18" s="24" t="str">
        <x:v>标准库</x:v>
      </x:c>
      <x:c r="E18" s="27" t="n">
        <x:v>45077</x:v>
      </x:c>
      <x:c r="F18" s="27" t="n">
        <x:v>46173</x:v>
      </x:c>
      <x:c r="G18" s="30" t="n">
        <x:f>IF(F18="","",DATE(2026,8,8)-F18)</x:f>
        <x:v>69</x:v>
      </x:c>
      <x:c r="H18" s="24" t="str">
        <x:f>IF(G18="","无法判定",IF(G18&lt;=120,"近期",IF(G18&lt;=365,"较新",IF(G18&lt;=1095,"滞后","严重滞后"))))</x:f>
        <x:v>近期</x:v>
      </x:c>
      <x:c r="I18" s="24" t="str">
        <x:v>https://dd.data1688.com/custom/countrySearch?country=%E5%93%A5%E4%BC%A6%E6%AF%94%E4%BA%9A&amp;imgUrl=CO.png&amp;defaultType=0</x:v>
      </x:c>
      <x:c r="J18" s="24" t="str">
        <x:v>2026-08-08 18:00 CST</x:v>
      </x:c>
      <x:c r="K18" s="24" t="str">
        <x:v>日期控件可读取</x:v>
      </x:c>
    </x:row>
    <x:row r="19">
      <x:c r="A19" s="24" t="str">
        <x:v>南美洲</x:v>
      </x:c>
      <x:c r="B19" s="24" t="str">
        <x:v>玻利维亚</x:v>
      </x:c>
      <x:c r="C19" s="24" t="str">
        <x:v>玻利维亚</x:v>
      </x:c>
      <x:c r="D19" s="24" t="str">
        <x:v>标准库</x:v>
      </x:c>
      <x:c r="E19" s="27" t="n">
        <x:v>42186</x:v>
      </x:c>
      <x:c r="F19" s="27" t="n">
        <x:v>43282</x:v>
      </x:c>
      <x:c r="G19" s="30" t="n">
        <x:f>IF(F19="","",DATE(2026,8,8)-F19)</x:f>
        <x:v>2960</x:v>
      </x:c>
      <x:c r="H19" s="24" t="str">
        <x:f>IF(G19="","无法判定",IF(G19&lt;=120,"近期",IF(G19&lt;=365,"较新",IF(G19&lt;=1095,"滞后","严重滞后"))))</x:f>
        <x:v>严重滞后</x:v>
      </x:c>
      <x:c r="I19" s="24" t="str">
        <x:v>https://dd.data1688.com/custom/countrySearch?country=%E7%8E%BB%E5%88%A9%E7%BB%B4%E4%BA%9A&amp;imgUrl=BO.png&amp;defaultType=0</x:v>
      </x:c>
      <x:c r="J19" s="24" t="str">
        <x:v>2026-08-08 18:00 CST</x:v>
      </x:c>
      <x:c r="K19" s="24" t="str">
        <x:v>日期控件可读取</x:v>
      </x:c>
    </x:row>
    <x:row r="20">
      <x:c r="A20" s="24" t="str">
        <x:v>南美洲</x:v>
      </x:c>
      <x:c r="B20" s="24" t="str">
        <x:v>委内瑞拉</x:v>
      </x:c>
      <x:c r="C20" s="24" t="str">
        <x:v>委内瑞拉</x:v>
      </x:c>
      <x:c r="D20" s="24" t="str">
        <x:v>标准库</x:v>
      </x:c>
      <x:c r="E20" s="27" t="n">
        <x:v>44409</x:v>
      </x:c>
      <x:c r="F20" s="27" t="n">
        <x:v>45505</x:v>
      </x:c>
      <x:c r="G20" s="30" t="n">
        <x:f>IF(F20="","",DATE(2026,8,8)-F20)</x:f>
        <x:v>737</x:v>
      </x:c>
      <x:c r="H20" s="24" t="str">
        <x:f>IF(G20="","无法判定",IF(G20&lt;=120,"近期",IF(G20&lt;=365,"较新",IF(G20&lt;=1095,"滞后","严重滞后"))))</x:f>
        <x:v>滞后</x:v>
      </x:c>
      <x:c r="I20" s="24" t="str">
        <x:v>https://dd.data1688.com/custom/countrySearch?country=%E5%A7%94%E5%86%85%E7%91%9E%E6%8B%89&amp;imgUrl=VE.png&amp;defaultType=0</x:v>
      </x:c>
      <x:c r="J20" s="24" t="str">
        <x:v>2026-08-08 18:00 CST</x:v>
      </x:c>
      <x:c r="K20" s="24" t="str">
        <x:v>日期控件可读取</x:v>
      </x:c>
    </x:row>
    <x:row r="21">
      <x:c r="A21" s="24" t="str">
        <x:v>南美洲</x:v>
      </x:c>
      <x:c r="B21" s="24" t="str">
        <x:v>委内瑞拉提单</x:v>
      </x:c>
      <x:c r="C21" s="24" t="str">
        <x:v>委内瑞拉</x:v>
      </x:c>
      <x:c r="D21" s="24" t="str">
        <x:v>提单</x:v>
      </x:c>
      <x:c r="E21" s="27" t="n">
        <x:v>44805</x:v>
      </x:c>
      <x:c r="F21" s="27" t="n">
        <x:v>45901</x:v>
      </x:c>
      <x:c r="G21" s="30" t="n">
        <x:f>IF(F21="","",DATE(2026,8,8)-F21)</x:f>
        <x:v>341</x:v>
      </x:c>
      <x:c r="H21" s="24" t="str">
        <x:f>IF(G21="","无法判定",IF(G21&lt;=120,"近期",IF(G21&lt;=365,"较新",IF(G21&lt;=1095,"滞后","严重滞后"))))</x:f>
        <x:v>较新</x:v>
      </x:c>
      <x:c r="I21" s="24" t="str">
        <x:v>https://dd.data1688.com/custom/countrySearch?country=%E5%A7%94%E5%86%85%E7%91%9E%E6%8B%89%E6%8F%90%E5%8D%95&amp;imgUrl=VE.png&amp;defaultType=0</x:v>
      </x:c>
      <x:c r="J21" s="24" t="str">
        <x:v>2026-08-08 18:00 CST</x:v>
      </x:c>
      <x:c r="K21" s="24" t="str">
        <x:v>日期控件可读取</x:v>
      </x:c>
    </x:row>
    <x:row r="22">
      <x:c r="A22" s="24" t="str">
        <x:v>南美洲</x:v>
      </x:c>
      <x:c r="B22" s="24" t="str">
        <x:v>巴拉圭</x:v>
      </x:c>
      <x:c r="C22" s="24" t="str">
        <x:v>巴拉圭</x:v>
      </x:c>
      <x:c r="D22" s="24" t="str">
        <x:v>标准库</x:v>
      </x:c>
      <x:c r="E22" s="27" t="n">
        <x:v>45138</x:v>
      </x:c>
      <x:c r="F22" s="27" t="n">
        <x:v>46234</x:v>
      </x:c>
      <x:c r="G22" s="30" t="n">
        <x:f>IF(F22="","",DATE(2026,8,8)-F22)</x:f>
        <x:v>8</x:v>
      </x:c>
      <x:c r="H22" s="24" t="str">
        <x:f>IF(G22="","无法判定",IF(G22&lt;=120,"近期",IF(G22&lt;=365,"较新",IF(G22&lt;=1095,"滞后","严重滞后"))))</x:f>
        <x:v>近期</x:v>
      </x:c>
      <x:c r="I22" s="24" t="str">
        <x:v>https://dd.data1688.com/custom/countrySearch?country=%E5%B7%B4%E6%8B%89%E5%9C%AD&amp;imgUrl=PY.png&amp;defaultType=0</x:v>
      </x:c>
      <x:c r="J22" s="24" t="str">
        <x:v>2026-08-08 18:00 CST</x:v>
      </x:c>
      <x:c r="K22" s="24" t="str">
        <x:v>日期控件可读取</x:v>
      </x:c>
    </x:row>
    <x:row r="23">
      <x:c r="A23" s="24" t="str">
        <x:v>南美洲</x:v>
      </x:c>
      <x:c r="B23" s="24" t="str">
        <x:v>巴拉圭关单</x:v>
      </x:c>
      <x:c r="C23" s="24" t="str">
        <x:v>巴拉圭</x:v>
      </x:c>
      <x:c r="D23" s="24" t="str">
        <x:v>关单</x:v>
      </x:c>
      <x:c r="E23" s="27" t="n">
        <x:v>43921</x:v>
      </x:c>
      <x:c r="F23" s="27" t="n">
        <x:v>45016</x:v>
      </x:c>
      <x:c r="G23" s="30" t="n">
        <x:f>IF(F23="","",DATE(2026,8,8)-F23)</x:f>
        <x:v>1226</x:v>
      </x:c>
      <x:c r="H23" s="24" t="str">
        <x:f>IF(G23="","无法判定",IF(G23&lt;=120,"近期",IF(G23&lt;=365,"较新",IF(G23&lt;=1095,"滞后","严重滞后"))))</x:f>
        <x:v>严重滞后</x:v>
      </x:c>
      <x:c r="I23" s="24" t="str">
        <x:v>https://dd.data1688.com/custom/countrySearch?country=%E5%B7%B4%E6%8B%89%E5%9C%AD%E5%85%B3%E5%8D%95&amp;imgUrl=PY.png&amp;defaultType=0</x:v>
      </x:c>
      <x:c r="J23" s="24" t="str">
        <x:v>2026-08-08 18:00 CST</x:v>
      </x:c>
      <x:c r="K23" s="24" t="str">
        <x:v>日期控件可读取</x:v>
      </x:c>
    </x:row>
    <x:row r="24">
      <x:c r="A24" s="24" t="str">
        <x:v>南美洲</x:v>
      </x:c>
      <x:c r="B24" s="24" t="str">
        <x:v>乌拉圭</x:v>
      </x:c>
      <x:c r="C24" s="24" t="str">
        <x:v>乌拉圭</x:v>
      </x:c>
      <x:c r="D24" s="24" t="str">
        <x:v>标准库</x:v>
      </x:c>
      <x:c r="E24" s="27" t="n">
        <x:v>45138</x:v>
      </x:c>
      <x:c r="F24" s="27" t="n">
        <x:v>46234</x:v>
      </x:c>
      <x:c r="G24" s="30" t="n">
        <x:f>IF(F24="","",DATE(2026,8,8)-F24)</x:f>
        <x:v>8</x:v>
      </x:c>
      <x:c r="H24" s="24" t="str">
        <x:f>IF(G24="","无法判定",IF(G24&lt;=120,"近期",IF(G24&lt;=365,"较新",IF(G24&lt;=1095,"滞后","严重滞后"))))</x:f>
        <x:v>近期</x:v>
      </x:c>
      <x:c r="I24" s="24" t="str">
        <x:v>https://dd.data1688.com/custom/countrySearch?country=%E4%B9%8C%E6%8B%89%E5%9C%AD&amp;imgUrl=UY.png&amp;defaultType=0</x:v>
      </x:c>
      <x:c r="J24" s="24" t="str">
        <x:v>2026-08-08 18:00 CST</x:v>
      </x:c>
      <x:c r="K24" s="24" t="str">
        <x:v>日期控件可读取</x:v>
      </x:c>
    </x:row>
    <x:row r="25">
      <x:c r="A25" s="24" t="str">
        <x:v>南美洲</x:v>
      </x:c>
      <x:c r="B25" s="24" t="str">
        <x:v>厄瓜多尔</x:v>
      </x:c>
      <x:c r="C25" s="24" t="str">
        <x:v>厄瓜多尔</x:v>
      </x:c>
      <x:c r="D25" s="24" t="str">
        <x:v>标准库</x:v>
      </x:c>
      <x:c r="E25" s="27" t="n">
        <x:v>45138</x:v>
      </x:c>
      <x:c r="F25" s="27" t="n">
        <x:v>46234</x:v>
      </x:c>
      <x:c r="G25" s="30" t="n">
        <x:f>IF(F25="","",DATE(2026,8,8)-F25)</x:f>
        <x:v>8</x:v>
      </x:c>
      <x:c r="H25" s="24" t="str">
        <x:f>IF(G25="","无法判定",IF(G25&lt;=120,"近期",IF(G25&lt;=365,"较新",IF(G25&lt;=1095,"滞后","严重滞后"))))</x:f>
        <x:v>近期</x:v>
      </x:c>
      <x:c r="I25" s="24" t="str">
        <x:v>https://dd.data1688.com/custom/countrySearch?country=%E5%8E%84%E7%93%9C%E5%A4%9A%E5%B0%94&amp;imgUrl=EC.png&amp;defaultType=0</x:v>
      </x:c>
      <x:c r="J25" s="24" t="str">
        <x:v>2026-08-08 18:00 CST</x:v>
      </x:c>
      <x:c r="K25" s="24" t="str">
        <x:v>日期控件可读取</x:v>
      </x:c>
    </x:row>
    <x:row r="26">
      <x:c r="A26" s="24" t="str">
        <x:v>南美洲</x:v>
      </x:c>
      <x:c r="B26" s="24" t="str">
        <x:v>巴西</x:v>
      </x:c>
      <x:c r="C26" s="24" t="str">
        <x:v>巴西</x:v>
      </x:c>
      <x:c r="D26" s="24" t="str">
        <x:v>标准库</x:v>
      </x:c>
      <x:c r="E26" s="27" t="n">
        <x:v>44895</x:v>
      </x:c>
      <x:c r="F26" s="27" t="n">
        <x:v>45991</x:v>
      </x:c>
      <x:c r="G26" s="30" t="n">
        <x:f>IF(F26="","",DATE(2026,8,8)-F26)</x:f>
        <x:v>251</x:v>
      </x:c>
      <x:c r="H26" s="24" t="str">
        <x:f>IF(G26="","无法判定",IF(G26&lt;=120,"近期",IF(G26&lt;=365,"较新",IF(G26&lt;=1095,"滞后","严重滞后"))))</x:f>
        <x:v>较新</x:v>
      </x:c>
      <x:c r="I26" s="24" t="str">
        <x:v>https://dd.data1688.com/custom/countrySearch?country=%E5%B7%B4%E8%A5%BF&amp;imgUrl=BR.png&amp;defaultType=0</x:v>
      </x:c>
      <x:c r="J26" s="24" t="str">
        <x:v>2026-08-08 18:00 CST</x:v>
      </x:c>
      <x:c r="K26" s="24" t="str">
        <x:v>日期控件可读取</x:v>
      </x:c>
    </x:row>
    <x:row r="27">
      <x:c r="A27" s="24" t="str">
        <x:v>南美洲</x:v>
      </x:c>
      <x:c r="B27" s="24" t="str">
        <x:v>巴西提单</x:v>
      </x:c>
      <x:c r="C27" s="24" t="str">
        <x:v>巴西</x:v>
      </x:c>
      <x:c r="D27" s="24" t="str">
        <x:v>提单</x:v>
      </x:c>
      <x:c r="E27" s="27" t="n">
        <x:v>44708</x:v>
      </x:c>
      <x:c r="F27" s="27" t="n">
        <x:v>45804</x:v>
      </x:c>
      <x:c r="G27" s="30" t="n">
        <x:f>IF(F27="","",DATE(2026,8,8)-F27)</x:f>
        <x:v>438</x:v>
      </x:c>
      <x:c r="H27" s="24" t="str">
        <x:f>IF(G27="","无法判定",IF(G27&lt;=120,"近期",IF(G27&lt;=365,"较新",IF(G27&lt;=1095,"滞后","严重滞后"))))</x:f>
        <x:v>滞后</x:v>
      </x:c>
      <x:c r="I27" s="24" t="str">
        <x:v>https://dd.data1688.com/custom/countrySearch?country=%E5%B7%B4%E8%A5%BF%E6%8F%90%E5%8D%95&amp;imgUrl=BR.png&amp;defaultType=0</x:v>
      </x:c>
      <x:c r="J27" s="24" t="str">
        <x:v>2026-08-08 18:00 CST</x:v>
      </x:c>
      <x:c r="K27" s="24" t="str">
        <x:v>日期控件可读取</x:v>
      </x:c>
    </x:row>
    <x:row r="28">
      <x:c r="A28" s="24" t="str">
        <x:v>南美洲</x:v>
      </x:c>
      <x:c r="B28" s="24" t="str">
        <x:v>巴西海运提单</x:v>
      </x:c>
      <x:c r="C28" s="24" t="str">
        <x:v>巴西</x:v>
      </x:c>
      <x:c r="D28" s="24" t="str">
        <x:v>海运提单</x:v>
      </x:c>
      <x:c r="E28" s="27" t="n">
        <x:v>44651</x:v>
      </x:c>
      <x:c r="F28" s="27" t="n">
        <x:v>45747</x:v>
      </x:c>
      <x:c r="G28" s="30" t="n">
        <x:f>IF(F28="","",DATE(2026,8,8)-F28)</x:f>
        <x:v>495</x:v>
      </x:c>
      <x:c r="H28" s="24" t="str">
        <x:f>IF(G28="","无法判定",IF(G28&lt;=120,"近期",IF(G28&lt;=365,"较新",IF(G28&lt;=1095,"滞后","严重滞后"))))</x:f>
        <x:v>滞后</x:v>
      </x:c>
      <x:c r="I28" s="24" t="str">
        <x:v>https://dd.data1688.com/custom/countrySearch?country=%E5%B7%B4%E8%A5%BF%E6%B5%B7%E8%BF%90%E6%8F%90%E5%8D%95&amp;imgUrl=BR.png&amp;defaultType=0</x:v>
      </x:c>
      <x:c r="J28" s="24" t="str">
        <x:v>2026-08-08 18:00 CST</x:v>
      </x:c>
      <x:c r="K28" s="24" t="str">
        <x:v>日期控件可读取</x:v>
      </x:c>
    </x:row>
    <x:row r="29">
      <x:c r="A29" s="24" t="str">
        <x:v>南美洲</x:v>
      </x:c>
      <x:c r="B29" s="24" t="str">
        <x:v>巴西统计</x:v>
      </x:c>
      <x:c r="C29" s="24" t="str">
        <x:v>巴西</x:v>
      </x:c>
      <x:c r="D29" s="24" t="str">
        <x:v>统计</x:v>
      </x:c>
      <x:c r="E29" s="27" t="n">
        <x:v>43160</x:v>
      </x:c>
      <x:c r="F29" s="27" t="n">
        <x:v>44256</x:v>
      </x:c>
      <x:c r="G29" s="30" t="n">
        <x:f>IF(F29="","",DATE(2026,8,8)-F29)</x:f>
        <x:v>1986</x:v>
      </x:c>
      <x:c r="H29" s="24" t="str">
        <x:f>IF(G29="","无法判定",IF(G29&lt;=120,"近期",IF(G29&lt;=365,"较新",IF(G29&lt;=1095,"滞后","严重滞后"))))</x:f>
        <x:v>严重滞后</x:v>
      </x:c>
      <x:c r="I29" s="24" t="str">
        <x:v>https://dd.data1688.com/custom/countrySearch?country=%E5%B7%B4%E8%A5%BF%E7%BB%9F%E8%AE%A1&amp;imgUrl=BR.png&amp;defaultType=0</x:v>
      </x:c>
      <x:c r="J29" s="24" t="str">
        <x:v>2026-08-08 18:00 CST</x:v>
      </x:c>
      <x:c r="K29" s="24" t="str">
        <x:v>日期控件可读取</x:v>
      </x:c>
    </x:row>
    <x:row r="30">
      <x:c r="A30" s="24" t="str">
        <x:v>欧洲</x:v>
      </x:c>
      <x:c r="B30" s="24" t="str">
        <x:v>俄罗斯</x:v>
      </x:c>
      <x:c r="C30" s="24" t="str">
        <x:v>俄罗斯</x:v>
      </x:c>
      <x:c r="D30" s="24" t="str">
        <x:v>标准库</x:v>
      </x:c>
      <x:c r="E30" s="27" t="n">
        <x:v>44651</x:v>
      </x:c>
      <x:c r="F30" s="27" t="n">
        <x:v>45747</x:v>
      </x:c>
      <x:c r="G30" s="30" t="n">
        <x:f>IF(F30="","",DATE(2026,8,8)-F30)</x:f>
        <x:v>495</x:v>
      </x:c>
      <x:c r="H30" s="24" t="str">
        <x:f>IF(G30="","无法判定",IF(G30&lt;=120,"近期",IF(G30&lt;=365,"较新",IF(G30&lt;=1095,"滞后","严重滞后"))))</x:f>
        <x:v>滞后</x:v>
      </x:c>
      <x:c r="I30" s="24" t="str">
        <x:v>https://dd.data1688.com/custom/countrySearch?country=%E4%BF%84%E7%BD%97%E6%96%AF&amp;imgUrl=RU.png&amp;defaultType=0</x:v>
      </x:c>
      <x:c r="J30" s="24" t="str">
        <x:v>2026-08-08 18:00 CST</x:v>
      </x:c>
      <x:c r="K30" s="24" t="str">
        <x:v>日期控件可读取</x:v>
      </x:c>
    </x:row>
    <x:row r="31">
      <x:c r="A31" s="24" t="str">
        <x:v>欧洲</x:v>
      </x:c>
      <x:c r="B31" s="24" t="str">
        <x:v>乌克兰</x:v>
      </x:c>
      <x:c r="C31" s="24" t="str">
        <x:v>乌克兰</x:v>
      </x:c>
      <x:c r="D31" s="24" t="str">
        <x:v>标准库</x:v>
      </x:c>
      <x:c r="E31" s="27" t="n">
        <x:v>45107</x:v>
      </x:c>
      <x:c r="F31" s="27" t="n">
        <x:v>46203</x:v>
      </x:c>
      <x:c r="G31" s="30" t="n">
        <x:f>IF(F31="","",DATE(2026,8,8)-F31)</x:f>
        <x:v>39</x:v>
      </x:c>
      <x:c r="H31" s="24" t="str">
        <x:f>IF(G31="","无法判定",IF(G31&lt;=120,"近期",IF(G31&lt;=365,"较新",IF(G31&lt;=1095,"滞后","严重滞后"))))</x:f>
        <x:v>近期</x:v>
      </x:c>
      <x:c r="I31" s="24" t="str">
        <x:v>https://dd.data1688.com/custom/countrySearch?country=%E4%B9%8C%E5%85%8B%E5%85%B0&amp;imgUrl=UA.png&amp;defaultType=0</x:v>
      </x:c>
      <x:c r="J31" s="24" t="str">
        <x:v>2026-08-08 18:00 CST</x:v>
      </x:c>
      <x:c r="K31" s="24" t="str">
        <x:v>日期控件可读取</x:v>
      </x:c>
    </x:row>
    <x:row r="32">
      <x:c r="A32" s="24" t="str">
        <x:v>欧洲</x:v>
      </x:c>
      <x:c r="B32" s="24" t="str">
        <x:v>英国</x:v>
      </x:c>
      <x:c r="C32" s="24" t="str">
        <x:v>英国</x:v>
      </x:c>
      <x:c r="D32" s="24" t="str">
        <x:v>标准库</x:v>
      </x:c>
      <x:c r="E32" s="27" t="n">
        <x:v>45076</x:v>
      </x:c>
      <x:c r="F32" s="27" t="n">
        <x:v>46172</x:v>
      </x:c>
      <x:c r="G32" s="30" t="n">
        <x:f>IF(F32="","",DATE(2026,8,8)-F32)</x:f>
        <x:v>70</x:v>
      </x:c>
      <x:c r="H32" s="24" t="str">
        <x:f>IF(G32="","无法判定",IF(G32&lt;=120,"近期",IF(G32&lt;=365,"较新",IF(G32&lt;=1095,"滞后","严重滞后"))))</x:f>
        <x:v>近期</x:v>
      </x:c>
      <x:c r="I32" s="24" t="str">
        <x:v>https://dd.data1688.com/custom/countrySearch?country=%E8%8B%B1%E5%9B%BD&amp;imgUrl=GB.png&amp;defaultType=0</x:v>
      </x:c>
      <x:c r="J32" s="24" t="str">
        <x:v>2026-08-08 18:00 CST</x:v>
      </x:c>
      <x:c r="K32" s="24" t="str">
        <x:v>日期控件可读取</x:v>
      </x:c>
    </x:row>
    <x:row r="33">
      <x:c r="A33" s="24" t="str">
        <x:v>欧洲</x:v>
      </x:c>
      <x:c r="B33" s="24" t="str">
        <x:v>欧盟</x:v>
      </x:c>
      <x:c r="C33" s="24" t="str">
        <x:v>欧盟</x:v>
      </x:c>
      <x:c r="D33" s="24" t="str">
        <x:v>标准库</x:v>
      </x:c>
      <x:c r="E33" s="27" t="n">
        <x:v>42005</x:v>
      </x:c>
      <x:c r="F33" s="27" t="n">
        <x:v>43101</x:v>
      </x:c>
      <x:c r="G33" s="30" t="n">
        <x:f>IF(F33="","",DATE(2026,8,8)-F33)</x:f>
        <x:v>3141</x:v>
      </x:c>
      <x:c r="H33" s="24" t="str">
        <x:f>IF(G33="","无法判定",IF(G33&lt;=120,"近期",IF(G33&lt;=365,"较新",IF(G33&lt;=1095,"滞后","严重滞后"))))</x:f>
        <x:v>严重滞后</x:v>
      </x:c>
      <x:c r="I33" s="24" t="str">
        <x:v>https://dd.data1688.com/custom/countrySearch?country=%E6%AC%A7%E7%9B%9F&amp;imgUrl=EU.png&amp;defaultType=0</x:v>
      </x:c>
      <x:c r="J33" s="24" t="str">
        <x:v>2026-08-08 18:00 CST</x:v>
      </x:c>
      <x:c r="K33" s="24" t="str">
        <x:v>日期控件可读取</x:v>
      </x:c>
    </x:row>
    <x:row r="34">
      <x:c r="A34" s="24" t="str">
        <x:v>欧洲</x:v>
      </x:c>
      <x:c r="B34" s="24" t="str">
        <x:v>摩尔多瓦</x:v>
      </x:c>
      <x:c r="C34" s="24" t="str">
        <x:v>摩尔多瓦</x:v>
      </x:c>
      <x:c r="D34" s="24" t="str">
        <x:v>标准库</x:v>
      </x:c>
      <x:c r="E34" s="27" t="n">
        <x:v>43830</x:v>
      </x:c>
      <x:c r="F34" s="27" t="n">
        <x:v>44926</x:v>
      </x:c>
      <x:c r="G34" s="30" t="n">
        <x:f>IF(F34="","",DATE(2026,8,8)-F34)</x:f>
        <x:v>1316</x:v>
      </x:c>
      <x:c r="H34" s="24" t="str">
        <x:f>IF(G34="","无法判定",IF(G34&lt;=120,"近期",IF(G34&lt;=365,"较新",IF(G34&lt;=1095,"滞后","严重滞后"))))</x:f>
        <x:v>严重滞后</x:v>
      </x:c>
      <x:c r="I34" s="24" t="str">
        <x:v>https://dd.data1688.com/custom/countrySearch?country=%E6%91%A9%E5%B0%94%E5%A4%9A%E7%93%A6&amp;imgUrl=MD.png&amp;defaultType=0</x:v>
      </x:c>
      <x:c r="J34" s="24" t="str">
        <x:v>2026-08-08 18:00 CST</x:v>
      </x:c>
      <x:c r="K34" s="24" t="str">
        <x:v>日期控件可读取</x:v>
      </x:c>
    </x:row>
    <x:row r="35">
      <x:c r="A35" s="24" t="str">
        <x:v>欧洲</x:v>
      </x:c>
      <x:c r="B35" s="24" t="str">
        <x:v>德国</x:v>
      </x:c>
      <x:c r="C35" s="24" t="str">
        <x:v>德国</x:v>
      </x:c>
      <x:c r="D35" s="24" t="str">
        <x:v>标准库</x:v>
      </x:c>
      <x:c r="E35" s="27" t="n">
        <x:v>41639</x:v>
      </x:c>
      <x:c r="F35" s="27" t="n">
        <x:v>42735</x:v>
      </x:c>
      <x:c r="G35" s="30" t="n">
        <x:f>IF(F35="","",DATE(2026,8,8)-F35)</x:f>
        <x:v>3507</x:v>
      </x:c>
      <x:c r="H35" s="24" t="str">
        <x:f>IF(G35="","无法判定",IF(G35&lt;=120,"近期",IF(G35&lt;=365,"较新",IF(G35&lt;=1095,"滞后","严重滞后"))))</x:f>
        <x:v>严重滞后</x:v>
      </x:c>
      <x:c r="I35" s="24" t="str">
        <x:v>https://dd.data1688.com/custom/countrySearch?country=%E5%BE%B7%E5%9B%BD&amp;imgUrl=DE.png&amp;defaultType=0</x:v>
      </x:c>
      <x:c r="J35" s="24" t="str">
        <x:v>2026-08-08 18:00 CST</x:v>
      </x:c>
      <x:c r="K35" s="24" t="str">
        <x:v>日期控件可读取</x:v>
      </x:c>
    </x:row>
    <x:row r="36">
      <x:c r="A36" s="24" t="str">
        <x:v>欧洲</x:v>
      </x:c>
      <x:c r="B36" s="24" t="str">
        <x:v>法国</x:v>
      </x:c>
      <x:c r="C36" s="24" t="str">
        <x:v>法国</x:v>
      </x:c>
      <x:c r="D36" s="24" t="str">
        <x:v>标准库</x:v>
      </x:c>
      <x:c r="E36" s="27" t="n">
        <x:v>41639</x:v>
      </x:c>
      <x:c r="F36" s="27" t="n">
        <x:v>42735</x:v>
      </x:c>
      <x:c r="G36" s="30" t="n">
        <x:f>IF(F36="","",DATE(2026,8,8)-F36)</x:f>
        <x:v>3507</x:v>
      </x:c>
      <x:c r="H36" s="24" t="str">
        <x:f>IF(G36="","无法判定",IF(G36&lt;=120,"近期",IF(G36&lt;=365,"较新",IF(G36&lt;=1095,"滞后","严重滞后"))))</x:f>
        <x:v>严重滞后</x:v>
      </x:c>
      <x:c r="I36" s="24" t="str">
        <x:v>https://dd.data1688.com/custom/countrySearch?country=%E6%B3%95%E5%9B%BD&amp;imgUrl=FR.png&amp;defaultType=0</x:v>
      </x:c>
      <x:c r="J36" s="24" t="str">
        <x:v>2026-08-08 18:00 CST</x:v>
      </x:c>
      <x:c r="K36" s="24" t="str">
        <x:v>日期控件可读取</x:v>
      </x:c>
    </x:row>
    <x:row r="37">
      <x:c r="A37" s="24" t="str">
        <x:v>欧洲</x:v>
      </x:c>
      <x:c r="B37" s="24" t="str">
        <x:v>波兰</x:v>
      </x:c>
      <x:c r="C37" s="24" t="str">
        <x:v>波兰</x:v>
      </x:c>
      <x:c r="D37" s="24" t="str">
        <x:v>标准库</x:v>
      </x:c>
      <x:c r="E37" s="27" t="n">
        <x:v>40178</x:v>
      </x:c>
      <x:c r="F37" s="27" t="n">
        <x:v>41274</x:v>
      </x:c>
      <x:c r="G37" s="30" t="n">
        <x:f>IF(F37="","",DATE(2026,8,8)-F37)</x:f>
        <x:v>4968</x:v>
      </x:c>
      <x:c r="H37" s="24" t="str">
        <x:f>IF(G37="","无法判定",IF(G37&lt;=120,"近期",IF(G37&lt;=365,"较新",IF(G37&lt;=1095,"滞后","严重滞后"))))</x:f>
        <x:v>严重滞后</x:v>
      </x:c>
      <x:c r="I37" s="24" t="str">
        <x:v>https://dd.data1688.com/custom/countrySearch?country=%E6%B3%A2%E5%85%B0&amp;imgUrl=PL.png&amp;defaultType=0</x:v>
      </x:c>
      <x:c r="J37" s="24" t="str">
        <x:v>2026-08-08 18:00 CST</x:v>
      </x:c>
      <x:c r="K37" s="24" t="str">
        <x:v>日期控件可读取</x:v>
      </x:c>
    </x:row>
    <x:row r="38">
      <x:c r="A38" s="24" t="str">
        <x:v>亚洲</x:v>
      </x:c>
      <x:c r="B38" s="24" t="str">
        <x:v>孟加拉</x:v>
      </x:c>
      <x:c r="C38" s="24" t="str">
        <x:v>孟加拉</x:v>
      </x:c>
      <x:c r="D38" s="24" t="str">
        <x:v>标准库</x:v>
      </x:c>
      <x:c r="E38" s="27" t="n">
        <x:v>45107</x:v>
      </x:c>
      <x:c r="F38" s="27" t="n">
        <x:v>46203</x:v>
      </x:c>
      <x:c r="G38" s="30" t="n">
        <x:f>IF(F38="","",DATE(2026,8,8)-F38)</x:f>
        <x:v>39</x:v>
      </x:c>
      <x:c r="H38" s="24" t="str">
        <x:f>IF(G38="","无法判定",IF(G38&lt;=120,"近期",IF(G38&lt;=365,"较新",IF(G38&lt;=1095,"滞后","严重滞后"))))</x:f>
        <x:v>近期</x:v>
      </x:c>
      <x:c r="I38" s="24" t="str">
        <x:v>https://dd.data1688.com/custom/countrySearch?country=%E5%AD%9F%E5%8A%A0%E6%8B%89&amp;imgUrl=BD.png&amp;defaultType=0</x:v>
      </x:c>
      <x:c r="J38" s="24" t="str">
        <x:v>2026-08-08 18:00 CST</x:v>
      </x:c>
      <x:c r="K38" s="24" t="str">
        <x:v>日期控件可读取</x:v>
      </x:c>
    </x:row>
    <x:row r="39">
      <x:c r="A39" s="24" t="str">
        <x:v>亚洲</x:v>
      </x:c>
      <x:c r="B39" s="24" t="str">
        <x:v>巴基斯坦</x:v>
      </x:c>
      <x:c r="C39" s="24" t="str">
        <x:v>巴基斯坦</x:v>
      </x:c>
      <x:c r="D39" s="24" t="str">
        <x:v>标准库</x:v>
      </x:c>
      <x:c r="E39" s="27" t="n">
        <x:v>43197</x:v>
      </x:c>
      <x:c r="F39" s="27" t="n">
        <x:v>44293</x:v>
      </x:c>
      <x:c r="G39" s="30" t="n">
        <x:f>IF(F39="","",DATE(2026,8,8)-F39)</x:f>
        <x:v>1949</x:v>
      </x:c>
      <x:c r="H39" s="24" t="str">
        <x:f>IF(G39="","无法判定",IF(G39&lt;=120,"近期",IF(G39&lt;=365,"较新",IF(G39&lt;=1095,"滞后","严重滞后"))))</x:f>
        <x:v>严重滞后</x:v>
      </x:c>
      <x:c r="I39" s="24" t="str">
        <x:v>https://dd.data1688.com/custom/countrySearch?country=%E5%B7%B4%E5%9F%BA%E6%96%AF%E5%9D%A6&amp;imgUrl=PK.png&amp;defaultType=0</x:v>
      </x:c>
      <x:c r="J39" s="24" t="str">
        <x:v>2026-08-08 18:00 CST</x:v>
      </x:c>
      <x:c r="K39" s="24" t="str">
        <x:v>日期控件可读取</x:v>
      </x:c>
    </x:row>
    <x:row r="40">
      <x:c r="A40" s="24" t="str">
        <x:v>亚洲</x:v>
      </x:c>
      <x:c r="B40" s="24" t="str">
        <x:v>巴基斯坦关单</x:v>
      </x:c>
      <x:c r="C40" s="24" t="str">
        <x:v>巴基斯坦</x:v>
      </x:c>
      <x:c r="D40" s="24" t="str">
        <x:v>关单</x:v>
      </x:c>
      <x:c r="E40" s="27" t="n">
        <x:v>45138</x:v>
      </x:c>
      <x:c r="F40" s="27" t="n">
        <x:v>46234</x:v>
      </x:c>
      <x:c r="G40" s="30" t="n">
        <x:f>IF(F40="","",DATE(2026,8,8)-F40)</x:f>
        <x:v>8</x:v>
      </x:c>
      <x:c r="H40" s="24" t="str">
        <x:f>IF(G40="","无法判定",IF(G40&lt;=120,"近期",IF(G40&lt;=365,"较新",IF(G40&lt;=1095,"滞后","严重滞后"))))</x:f>
        <x:v>近期</x:v>
      </x:c>
      <x:c r="I40" s="24" t="str">
        <x:v>https://dd.data1688.com/custom/countrySearch?country=%E5%B7%B4%E5%9F%BA%E6%96%AF%E5%9D%A6%E5%85%B3%E5%8D%95&amp;imgUrl=PK.png&amp;defaultType=0</x:v>
      </x:c>
      <x:c r="J40" s="24" t="str">
        <x:v>2026-08-08 18:00 CST</x:v>
      </x:c>
      <x:c r="K40" s="24" t="str">
        <x:v>日期控件可读取</x:v>
      </x:c>
    </x:row>
    <x:row r="41">
      <x:c r="A41" s="24" t="str">
        <x:v>亚洲</x:v>
      </x:c>
      <x:c r="B41" s="24" t="str">
        <x:v>印度全港</x:v>
      </x:c>
      <x:c r="C41" s="24" t="str">
        <x:v>印度</x:v>
      </x:c>
      <x:c r="D41" s="24" t="str">
        <x:v>全港</x:v>
      </x:c>
      <x:c r="E41" s="27" t="n">
        <x:v>44985</x:v>
      </x:c>
      <x:c r="F41" s="27" t="n">
        <x:v>46081</x:v>
      </x:c>
      <x:c r="G41" s="30" t="n">
        <x:f>IF(F41="","",DATE(2026,8,8)-F41)</x:f>
        <x:v>161</x:v>
      </x:c>
      <x:c r="H41" s="24" t="str">
        <x:f>IF(G41="","无法判定",IF(G41&lt;=120,"近期",IF(G41&lt;=365,"较新",IF(G41&lt;=1095,"滞后","严重滞后"))))</x:f>
        <x:v>较新</x:v>
      </x:c>
      <x:c r="I41" s="24" t="str">
        <x:v>https://dd.data1688.com/custom/countrySearch?country=%E5%8D%B0%E5%BA%A6%E5%85%A8%E6%B8%AF&amp;imgUrl=IN.png&amp;defaultType=0</x:v>
      </x:c>
      <x:c r="J41" s="24" t="str">
        <x:v>2026-08-08 18:00 CST</x:v>
      </x:c>
      <x:c r="K41" s="24" t="str">
        <x:v>日期控件可读取</x:v>
      </x:c>
    </x:row>
    <x:row r="42">
      <x:c r="A42" s="24" t="str">
        <x:v>亚洲</x:v>
      </x:c>
      <x:c r="B42" s="24" t="str">
        <x:v>印度快版</x:v>
      </x:c>
      <x:c r="C42" s="24" t="str">
        <x:v>印度</x:v>
      </x:c>
      <x:c r="D42" s="24" t="str">
        <x:v>快版</x:v>
      </x:c>
      <x:c r="E42" s="27" t="n">
        <x:v>44155</x:v>
      </x:c>
      <x:c r="F42" s="27" t="n">
        <x:v>45250</x:v>
      </x:c>
      <x:c r="G42" s="30" t="n">
        <x:f>IF(F42="","",DATE(2026,8,8)-F42)</x:f>
        <x:v>992</x:v>
      </x:c>
      <x:c r="H42" s="24" t="str">
        <x:f>IF(G42="","无法判定",IF(G42&lt;=120,"近期",IF(G42&lt;=365,"较新",IF(G42&lt;=1095,"滞后","严重滞后"))))</x:f>
        <x:v>滞后</x:v>
      </x:c>
      <x:c r="I42" s="24" t="str">
        <x:v>https://dd.data1688.com/custom/countrySearch?country=%E5%8D%B0%E5%BA%A6%E5%BF%AB%E7%89%88&amp;imgUrl=IN.png&amp;defaultType=0</x:v>
      </x:c>
      <x:c r="J42" s="24" t="str">
        <x:v>2026-08-08 18:00 CST</x:v>
      </x:c>
      <x:c r="K42" s="24" t="str">
        <x:v>日期控件可读取</x:v>
      </x:c>
    </x:row>
    <x:row r="43">
      <x:c r="A43" s="24" t="str">
        <x:v>亚洲</x:v>
      </x:c>
      <x:c r="B43" s="24" t="str">
        <x:v>印度孟买</x:v>
      </x:c>
      <x:c r="C43" s="24" t="str">
        <x:v>印度</x:v>
      </x:c>
      <x:c r="D43" s="24" t="str">
        <x:v>孟买</x:v>
      </x:c>
      <x:c r="E43" s="27" t="n">
        <x:v>42916</x:v>
      </x:c>
      <x:c r="F43" s="27" t="n">
        <x:v>44012</x:v>
      </x:c>
      <x:c r="G43" s="30" t="n">
        <x:f>IF(F43="","",DATE(2026,8,8)-F43)</x:f>
        <x:v>2230</x:v>
      </x:c>
      <x:c r="H43" s="24" t="str">
        <x:f>IF(G43="","无法判定",IF(G43&lt;=120,"近期",IF(G43&lt;=365,"较新",IF(G43&lt;=1095,"滞后","严重滞后"))))</x:f>
        <x:v>严重滞后</x:v>
      </x:c>
      <x:c r="I43" s="24" t="str">
        <x:v>https://dd.data1688.com/custom/countrySearch?country=%E5%8D%B0%E5%BA%A6%E5%AD%9F%E4%B9%B0&amp;imgUrl=IN.png&amp;defaultType=0</x:v>
      </x:c>
      <x:c r="J43" s="24" t="str">
        <x:v>2026-08-08 18:00 CST</x:v>
      </x:c>
      <x:c r="K43" s="24" t="str">
        <x:v>日期控件可读取</x:v>
      </x:c>
    </x:row>
    <x:row r="44">
      <x:c r="A44" s="24" t="str">
        <x:v>亚洲</x:v>
      </x:c>
      <x:c r="B44" s="24" t="str">
        <x:v>韩国</x:v>
      </x:c>
      <x:c r="C44" s="24" t="str">
        <x:v>韩国</x:v>
      </x:c>
      <x:c r="D44" s="24" t="str">
        <x:v>标准库</x:v>
      </x:c>
      <x:c r="E44" s="27" t="n">
        <x:v>40787</x:v>
      </x:c>
      <x:c r="F44" s="27" t="n">
        <x:v>41883</x:v>
      </x:c>
      <x:c r="G44" s="30" t="n">
        <x:f>IF(F44="","",DATE(2026,8,8)-F44)</x:f>
        <x:v>4359</x:v>
      </x:c>
      <x:c r="H44" s="24" t="str">
        <x:f>IF(G44="","无法判定",IF(G44&lt;=120,"近期",IF(G44&lt;=365,"较新",IF(G44&lt;=1095,"滞后","严重滞后"))))</x:f>
        <x:v>严重滞后</x:v>
      </x:c>
      <x:c r="I44" s="24" t="str">
        <x:v>https://dd.data1688.com/custom/countrySearch?country=%E9%9F%A9%E5%9B%BD&amp;imgUrl=KR.png&amp;defaultType=0</x:v>
      </x:c>
      <x:c r="J44" s="24" t="str">
        <x:v>2026-08-08 18:00 CST</x:v>
      </x:c>
      <x:c r="K44" s="24" t="str">
        <x:v>日期控件可读取</x:v>
      </x:c>
    </x:row>
    <x:row r="45">
      <x:c r="A45" s="24" t="str">
        <x:v>亚洲</x:v>
      </x:c>
      <x:c r="B45" s="24" t="str">
        <x:v>中国台湾</x:v>
      </x:c>
      <x:c r="C45" s="24" t="str">
        <x:v>中国台湾</x:v>
      </x:c>
      <x:c r="D45" s="24" t="str">
        <x:v>标准库</x:v>
      </x:c>
      <x:c r="E45" s="27"/>
      <x:c r="F45" s="27"/>
      <x:c r="G45" s="30" t="str">
        <x:f>IF(F45="","",DATE(2026,8,8)-F45)</x:f>
      </x:c>
      <x:c r="H45" s="24" t="str">
        <x:f>IF(G45="","无法判定",IF(G45&lt;=120,"近期",IF(G45&lt;=365,"较新",IF(G45&lt;=1095,"滞后","严重滞后"))))</x:f>
        <x:v>无法判定</x:v>
      </x:c>
      <x:c r="I45" s="24" t="str">
        <x:v>https://dd.data1688.com/custom/countrySearch?country=%E4%B8%AD%E5%9B%BD%E5%8F%B0%E6%B9%BE&amp;imgUrl=TW.png&amp;defaultType=0</x:v>
      </x:c>
      <x:c r="J45" s="24" t="str">
        <x:v>2026-08-08 18:00 CST</x:v>
      </x:c>
      <x:c r="K45" s="24" t="str">
        <x:v>页面未显示查询字段及日期控件</x:v>
      </x:c>
    </x:row>
    <x:row r="46">
      <x:c r="A46" s="24" t="str">
        <x:v>亚洲</x:v>
      </x:c>
      <x:c r="B46" s="24" t="str">
        <x:v>越南</x:v>
      </x:c>
      <x:c r="C46" s="24" t="str">
        <x:v>越南</x:v>
      </x:c>
      <x:c r="D46" s="24" t="str">
        <x:v>标准库</x:v>
      </x:c>
      <x:c r="E46" s="27" t="n">
        <x:v>43465</x:v>
      </x:c>
      <x:c r="F46" s="27" t="n">
        <x:v>44561</x:v>
      </x:c>
      <x:c r="G46" s="30" t="n">
        <x:f>IF(F46="","",DATE(2026,8,8)-F46)</x:f>
        <x:v>1681</x:v>
      </x:c>
      <x:c r="H46" s="24" t="str">
        <x:f>IF(G46="","无法判定",IF(G46&lt;=120,"近期",IF(G46&lt;=365,"较新",IF(G46&lt;=1095,"滞后","严重滞后"))))</x:f>
        <x:v>严重滞后</x:v>
      </x:c>
      <x:c r="I46" s="24" t="str">
        <x:v>https://dd.data1688.com/custom/countrySearch?country=%E8%B6%8A%E5%8D%97&amp;imgUrl=VN.png&amp;defaultType=0</x:v>
      </x:c>
      <x:c r="J46" s="24" t="str">
        <x:v>2026-08-08 18:00 CST</x:v>
      </x:c>
      <x:c r="K46" s="24" t="str">
        <x:v>日期控件可读取</x:v>
      </x:c>
    </x:row>
    <x:row r="47">
      <x:c r="A47" s="24" t="str">
        <x:v>亚洲</x:v>
      </x:c>
      <x:c r="B47" s="24" t="str">
        <x:v>越南全港</x:v>
      </x:c>
      <x:c r="C47" s="24" t="str">
        <x:v>越南</x:v>
      </x:c>
      <x:c r="D47" s="24" t="str">
        <x:v>全港</x:v>
      </x:c>
      <x:c r="E47" s="27" t="n">
        <x:v>45107</x:v>
      </x:c>
      <x:c r="F47" s="27" t="n">
        <x:v>46203</x:v>
      </x:c>
      <x:c r="G47" s="30" t="n">
        <x:f>IF(F47="","",DATE(2026,8,8)-F47)</x:f>
        <x:v>39</x:v>
      </x:c>
      <x:c r="H47" s="24" t="str">
        <x:f>IF(G47="","无法判定",IF(G47&lt;=120,"近期",IF(G47&lt;=365,"较新",IF(G47&lt;=1095,"滞后","严重滞后"))))</x:f>
        <x:v>近期</x:v>
      </x:c>
      <x:c r="I47" s="24" t="str">
        <x:v>https://dd.data1688.com/custom/countrySearch?country=%E8%B6%8A%E5%8D%97%E5%85%A8%E6%B8%AF&amp;imgUrl=VN.png&amp;defaultType=0</x:v>
      </x:c>
      <x:c r="J47" s="24" t="str">
        <x:v>2026-08-08 18:00 CST</x:v>
      </x:c>
      <x:c r="K47" s="24" t="str">
        <x:v>日期控件可读取</x:v>
      </x:c>
    </x:row>
    <x:row r="48">
      <x:c r="A48" s="24" t="str">
        <x:v>亚洲</x:v>
      </x:c>
      <x:c r="B48" s="24" t="str">
        <x:v>哈萨克斯坦</x:v>
      </x:c>
      <x:c r="C48" s="24" t="str">
        <x:v>哈萨克斯坦</x:v>
      </x:c>
      <x:c r="D48" s="24" t="str">
        <x:v>标准库</x:v>
      </x:c>
      <x:c r="E48" s="27" t="n">
        <x:v>45107</x:v>
      </x:c>
      <x:c r="F48" s="27" t="n">
        <x:v>46203</x:v>
      </x:c>
      <x:c r="G48" s="30" t="n">
        <x:f>IF(F48="","",DATE(2026,8,8)-F48)</x:f>
        <x:v>39</x:v>
      </x:c>
      <x:c r="H48" s="24" t="str">
        <x:f>IF(G48="","无法判定",IF(G48&lt;=120,"近期",IF(G48&lt;=365,"较新",IF(G48&lt;=1095,"滞后","严重滞后"))))</x:f>
        <x:v>近期</x:v>
      </x:c>
      <x:c r="I48" s="24" t="str">
        <x:v>https://dd.data1688.com/custom/countrySearch?country=%E5%93%88%E8%90%A8%E5%85%8B%E6%96%AF%E5%9D%A6&amp;imgUrl=KZ.png&amp;defaultType=0</x:v>
      </x:c>
      <x:c r="J48" s="24" t="str">
        <x:v>2026-08-08 18:00 CST</x:v>
      </x:c>
      <x:c r="K48" s="24" t="str">
        <x:v>日期控件可读取</x:v>
      </x:c>
    </x:row>
    <x:row r="49">
      <x:c r="A49" s="24" t="str">
        <x:v>亚洲</x:v>
      </x:c>
      <x:c r="B49" s="24" t="str">
        <x:v>日本</x:v>
      </x:c>
      <x:c r="C49" s="24" t="str">
        <x:v>日本</x:v>
      </x:c>
      <x:c r="D49" s="24" t="str">
        <x:v>标准库</x:v>
      </x:c>
      <x:c r="E49" s="27" t="n">
        <x:v>41639</x:v>
      </x:c>
      <x:c r="F49" s="27" t="n">
        <x:v>42735</x:v>
      </x:c>
      <x:c r="G49" s="30" t="n">
        <x:f>IF(F49="","",DATE(2026,8,8)-F49)</x:f>
        <x:v>3507</x:v>
      </x:c>
      <x:c r="H49" s="24" t="str">
        <x:f>IF(G49="","无法判定",IF(G49&lt;=120,"近期",IF(G49&lt;=365,"较新",IF(G49&lt;=1095,"滞后","严重滞后"))))</x:f>
        <x:v>严重滞后</x:v>
      </x:c>
      <x:c r="I49" s="24" t="str">
        <x:v>https://dd.data1688.com/custom/countrySearch?country=%E6%97%A5%E6%9C%AC&amp;imgUrl=JP.png&amp;defaultType=0</x:v>
      </x:c>
      <x:c r="J49" s="24" t="str">
        <x:v>2026-08-08 18:00 CST</x:v>
      </x:c>
      <x:c r="K49" s="24" t="str">
        <x:v>日期控件可读取</x:v>
      </x:c>
    </x:row>
    <x:row r="50">
      <x:c r="A50" s="24" t="str">
        <x:v>亚洲</x:v>
      </x:c>
      <x:c r="B50" s="24" t="str">
        <x:v>乌兹别克斯坦</x:v>
      </x:c>
      <x:c r="C50" s="24" t="str">
        <x:v>乌兹别克斯坦</x:v>
      </x:c>
      <x:c r="D50" s="24" t="str">
        <x:v>标准库</x:v>
      </x:c>
      <x:c r="E50" s="27" t="n">
        <x:v>45107</x:v>
      </x:c>
      <x:c r="F50" s="27" t="n">
        <x:v>46203</x:v>
      </x:c>
      <x:c r="G50" s="30" t="n">
        <x:f>IF(F50="","",DATE(2026,8,8)-F50)</x:f>
        <x:v>39</x:v>
      </x:c>
      <x:c r="H50" s="24" t="str">
        <x:f>IF(G50="","无法判定",IF(G50&lt;=120,"近期",IF(G50&lt;=365,"较新",IF(G50&lt;=1095,"滞后","严重滞后"))))</x:f>
        <x:v>近期</x:v>
      </x:c>
      <x:c r="I50" s="24" t="str">
        <x:v>https://dd.data1688.com/custom/countrySearch?country=%E4%B9%8C%E5%85%B9%E5%88%AB%E5%85%8B%E6%96%AF%E5%9D%A6&amp;imgUrl=UZ.png&amp;defaultType=0</x:v>
      </x:c>
      <x:c r="J50" s="24" t="str">
        <x:v>2026-08-08 18:00 CST</x:v>
      </x:c>
      <x:c r="K50" s="24" t="str">
        <x:v>日期控件可读取</x:v>
      </x:c>
    </x:row>
    <x:row r="51">
      <x:c r="A51" s="24" t="str">
        <x:v>亚洲</x:v>
      </x:c>
      <x:c r="B51" s="24" t="str">
        <x:v>菲律宾</x:v>
      </x:c>
      <x:c r="C51" s="24" t="str">
        <x:v>菲律宾</x:v>
      </x:c>
      <x:c r="D51" s="24" t="str">
        <x:v>标准库</x:v>
      </x:c>
      <x:c r="E51" s="27" t="n">
        <x:v>43100</x:v>
      </x:c>
      <x:c r="F51" s="27" t="n">
        <x:v>44196</x:v>
      </x:c>
      <x:c r="G51" s="30" t="n">
        <x:f>IF(F51="","",DATE(2026,8,8)-F51)</x:f>
        <x:v>2046</x:v>
      </x:c>
      <x:c r="H51" s="24" t="str">
        <x:f>IF(G51="","无法判定",IF(G51&lt;=120,"近期",IF(G51&lt;=365,"较新",IF(G51&lt;=1095,"滞后","严重滞后"))))</x:f>
        <x:v>严重滞后</x:v>
      </x:c>
      <x:c r="I51" s="24" t="str">
        <x:v>https://dd.data1688.com/custom/countrySearch?country=%E8%8F%B2%E5%BE%8B%E5%AE%BE&amp;imgUrl=PH.png&amp;defaultType=0</x:v>
      </x:c>
      <x:c r="J51" s="24" t="str">
        <x:v>2026-08-08 18:00 CST</x:v>
      </x:c>
      <x:c r="K51" s="24" t="str">
        <x:v>日期控件可读取</x:v>
      </x:c>
    </x:row>
    <x:row r="52">
      <x:c r="A52" s="24" t="str">
        <x:v>亚洲</x:v>
      </x:c>
      <x:c r="B52" s="24" t="str">
        <x:v>菲律宾新版</x:v>
      </x:c>
      <x:c r="C52" s="24" t="str">
        <x:v>菲律宾</x:v>
      </x:c>
      <x:c r="D52" s="24" t="str">
        <x:v>新版</x:v>
      </x:c>
      <x:c r="E52" s="27" t="n">
        <x:v>45107</x:v>
      </x:c>
      <x:c r="F52" s="27" t="n">
        <x:v>46203</x:v>
      </x:c>
      <x:c r="G52" s="30" t="n">
        <x:f>IF(F52="","",DATE(2026,8,8)-F52)</x:f>
        <x:v>39</x:v>
      </x:c>
      <x:c r="H52" s="24" t="str">
        <x:f>IF(G52="","无法判定",IF(G52&lt;=120,"近期",IF(G52&lt;=365,"较新",IF(G52&lt;=1095,"滞后","严重滞后"))))</x:f>
        <x:v>近期</x:v>
      </x:c>
      <x:c r="I52" s="24" t="str">
        <x:v>https://dd.data1688.com/custom/countrySearch?country=%E8%8F%B2%E5%BE%8B%E5%AE%BE%E6%96%B0%E7%89%88&amp;imgUrl=PH.png&amp;defaultType=0</x:v>
      </x:c>
      <x:c r="J52" s="24" t="str">
        <x:v>2026-08-08 18:00 CST</x:v>
      </x:c>
      <x:c r="K52" s="24" t="str">
        <x:v>日期控件可读取</x:v>
      </x:c>
    </x:row>
    <x:row r="53">
      <x:c r="A53" s="24" t="str">
        <x:v>亚洲</x:v>
      </x:c>
      <x:c r="B53" s="24" t="str">
        <x:v>斯里兰卡</x:v>
      </x:c>
      <x:c r="C53" s="24" t="str">
        <x:v>斯里兰卡</x:v>
      </x:c>
      <x:c r="D53" s="24" t="str">
        <x:v>标准库</x:v>
      </x:c>
      <x:c r="E53" s="27" t="n">
        <x:v>45077</x:v>
      </x:c>
      <x:c r="F53" s="27" t="n">
        <x:v>46173</x:v>
      </x:c>
      <x:c r="G53" s="30" t="n">
        <x:f>IF(F53="","",DATE(2026,8,8)-F53)</x:f>
        <x:v>69</x:v>
      </x:c>
      <x:c r="H53" s="24" t="str">
        <x:f>IF(G53="","无法判定",IF(G53&lt;=120,"近期",IF(G53&lt;=365,"较新",IF(G53&lt;=1095,"滞后","严重滞后"))))</x:f>
        <x:v>近期</x:v>
      </x:c>
      <x:c r="I53" s="24" t="str">
        <x:v>https://dd.data1688.com/custom/countrySearch?country=%E6%96%AF%E9%87%8C%E5%85%B0%E5%8D%A1&amp;imgUrl=LK.png&amp;defaultType=0</x:v>
      </x:c>
      <x:c r="J53" s="24" t="str">
        <x:v>2026-08-08 18:00 CST</x:v>
      </x:c>
      <x:c r="K53" s="24" t="str">
        <x:v>日期控件可读取</x:v>
      </x:c>
    </x:row>
    <x:row r="54">
      <x:c r="A54" s="24" t="str">
        <x:v>亚洲</x:v>
      </x:c>
      <x:c r="B54" s="24" t="str">
        <x:v>印度尼西亚</x:v>
      </x:c>
      <x:c r="C54" s="24" t="str">
        <x:v>印度尼西亚</x:v>
      </x:c>
      <x:c r="D54" s="24" t="str">
        <x:v>标准库</x:v>
      </x:c>
      <x:c r="E54" s="27" t="n">
        <x:v>45107</x:v>
      </x:c>
      <x:c r="F54" s="27" t="n">
        <x:v>46203</x:v>
      </x:c>
      <x:c r="G54" s="30" t="n">
        <x:f>IF(F54="","",DATE(2026,8,8)-F54)</x:f>
        <x:v>39</x:v>
      </x:c>
      <x:c r="H54" s="24" t="str">
        <x:f>IF(G54="","无法判定",IF(G54&lt;=120,"近期",IF(G54&lt;=365,"较新",IF(G54&lt;=1095,"滞后","严重滞后"))))</x:f>
        <x:v>近期</x:v>
      </x:c>
      <x:c r="I54" s="24" t="str">
        <x:v>https://dd.data1688.com/custom/countrySearch?country=%E5%8D%B0%E5%BA%A6%E5%B0%BC%E8%A5%BF%E4%BA%9A&amp;imgUrl=ID.png&amp;defaultType=0</x:v>
      </x:c>
      <x:c r="J54" s="24" t="str">
        <x:v>2026-08-08 18:00 CST</x:v>
      </x:c>
      <x:c r="K54" s="24" t="str">
        <x:v>日期控件可读取</x:v>
      </x:c>
    </x:row>
    <x:row r="55">
      <x:c r="A55" s="24" t="str">
        <x:v>亚洲</x:v>
      </x:c>
      <x:c r="B55" s="24" t="str">
        <x:v>泰国</x:v>
      </x:c>
      <x:c r="C55" s="24" t="str">
        <x:v>泰国</x:v>
      </x:c>
      <x:c r="D55" s="24" t="str">
        <x:v>标准库</x:v>
      </x:c>
      <x:c r="E55" s="27" t="n">
        <x:v>43921</x:v>
      </x:c>
      <x:c r="F55" s="27" t="n">
        <x:v>45016</x:v>
      </x:c>
      <x:c r="G55" s="30" t="n">
        <x:f>IF(F55="","",DATE(2026,8,8)-F55)</x:f>
        <x:v>1226</x:v>
      </x:c>
      <x:c r="H55" s="24" t="str">
        <x:f>IF(G55="","无法判定",IF(G55&lt;=120,"近期",IF(G55&lt;=365,"较新",IF(G55&lt;=1095,"滞后","严重滞后"))))</x:f>
        <x:v>严重滞后</x:v>
      </x:c>
      <x:c r="I55" s="24" t="str">
        <x:v>https://dd.data1688.com/custom/countrySearch?country=%E6%B3%B0%E5%9B%BD&amp;imgUrl=TH.png&amp;defaultType=0</x:v>
      </x:c>
      <x:c r="J55" s="24" t="str">
        <x:v>2026-08-08 18:00 CST</x:v>
      </x:c>
      <x:c r="K55" s="24" t="str">
        <x:v>日期控件可读取</x:v>
      </x:c>
    </x:row>
    <x:row r="56">
      <x:c r="A56" s="24" t="str">
        <x:v>亚洲</x:v>
      </x:c>
      <x:c r="B56" s="24" t="str">
        <x:v>土耳其</x:v>
      </x:c>
      <x:c r="C56" s="24" t="str">
        <x:v>土耳其</x:v>
      </x:c>
      <x:c r="D56" s="24" t="str">
        <x:v>标准库</x:v>
      </x:c>
      <x:c r="E56" s="27" t="n">
        <x:v>44715</x:v>
      </x:c>
      <x:c r="F56" s="27" t="n">
        <x:v>45811</x:v>
      </x:c>
      <x:c r="G56" s="30" t="n">
        <x:f>IF(F56="","",DATE(2026,8,8)-F56)</x:f>
        <x:v>431</x:v>
      </x:c>
      <x:c r="H56" s="24" t="str">
        <x:f>IF(G56="","无法判定",IF(G56&lt;=120,"近期",IF(G56&lt;=365,"较新",IF(G56&lt;=1095,"滞后","严重滞后"))))</x:f>
        <x:v>滞后</x:v>
      </x:c>
      <x:c r="I56" s="24" t="str">
        <x:v>https://dd.data1688.com/custom/countrySearch?country=%E5%9C%9F%E8%80%B3%E5%85%B6&amp;imgUrl=TR.png&amp;defaultType=0</x:v>
      </x:c>
      <x:c r="J56" s="24" t="str">
        <x:v>2026-08-08 18:00 CST</x:v>
      </x:c>
      <x:c r="K56" s="24" t="str">
        <x:v>日期控件可读取</x:v>
      </x:c>
    </x:row>
    <x:row r="57">
      <x:c r="A57" s="24" t="str">
        <x:v>亚洲</x:v>
      </x:c>
      <x:c r="B57" s="24" t="str">
        <x:v>吉尔吉斯斯坦</x:v>
      </x:c>
      <x:c r="C57" s="24" t="str">
        <x:v>吉尔吉斯斯坦</x:v>
      </x:c>
      <x:c r="D57" s="24" t="str">
        <x:v>标准库</x:v>
      </x:c>
      <x:c r="E57" s="27" t="n">
        <x:v>40908</x:v>
      </x:c>
      <x:c r="F57" s="27" t="n">
        <x:v>42004</x:v>
      </x:c>
      <x:c r="G57" s="30" t="n">
        <x:f>IF(F57="","",DATE(2026,8,8)-F57)</x:f>
        <x:v>4238</x:v>
      </x:c>
      <x:c r="H57" s="24" t="str">
        <x:f>IF(G57="","无法判定",IF(G57&lt;=120,"近期",IF(G57&lt;=365,"较新",IF(G57&lt;=1095,"滞后","严重滞后"))))</x:f>
        <x:v>严重滞后</x:v>
      </x:c>
      <x:c r="I57" s="24" t="str">
        <x:v>https://dd.data1688.com/custom/countrySearch?country=%E5%90%89%E5%B0%94%E5%90%89%E6%96%AF%E6%96%AF%E5%9D%A6&amp;imgUrl=KG.png&amp;defaultType=0</x:v>
      </x:c>
      <x:c r="J57" s="24" t="str">
        <x:v>2026-08-08 18:00 CST</x:v>
      </x:c>
      <x:c r="K57" s="24" t="str">
        <x:v>日期控件可读取</x:v>
      </x:c>
    </x:row>
    <x:row r="58">
      <x:c r="A58" s="24" t="str">
        <x:v>非洲</x:v>
      </x:c>
      <x:c r="B58" s="24" t="str">
        <x:v>埃塞俄比亚</x:v>
      </x:c>
      <x:c r="C58" s="24" t="str">
        <x:v>埃塞俄比亚</x:v>
      </x:c>
      <x:c r="D58" s="24" t="str">
        <x:v>标准库</x:v>
      </x:c>
      <x:c r="E58" s="27" t="n">
        <x:v>45107</x:v>
      </x:c>
      <x:c r="F58" s="27" t="n">
        <x:v>46203</x:v>
      </x:c>
      <x:c r="G58" s="30" t="n">
        <x:f>IF(F58="","",DATE(2026,8,8)-F58)</x:f>
        <x:v>39</x:v>
      </x:c>
      <x:c r="H58" s="24" t="str">
        <x:f>IF(G58="","无法判定",IF(G58&lt;=120,"近期",IF(G58&lt;=365,"较新",IF(G58&lt;=1095,"滞后","严重滞后"))))</x:f>
        <x:v>近期</x:v>
      </x:c>
      <x:c r="I58" s="24" t="str">
        <x:v>https://dd.data1688.com/custom/countrySearch?country=%E5%9F%83%E5%A1%9E%E4%BF%84%E6%AF%94%E4%BA%9A&amp;imgUrl=ET.png&amp;defaultType=0</x:v>
      </x:c>
      <x:c r="J58" s="24" t="str">
        <x:v>2026-08-08 18:00 CST</x:v>
      </x:c>
      <x:c r="K58" s="24" t="str">
        <x:v>日期控件可读取</x:v>
      </x:c>
    </x:row>
    <x:row r="59">
      <x:c r="A59" s="24" t="str">
        <x:v>非洲</x:v>
      </x:c>
      <x:c r="B59" s="24" t="str">
        <x:v>乌干达</x:v>
      </x:c>
      <x:c r="C59" s="24" t="str">
        <x:v>乌干达</x:v>
      </x:c>
      <x:c r="D59" s="24" t="str">
        <x:v>标准库</x:v>
      </x:c>
      <x:c r="E59" s="27" t="n">
        <x:v>45077</x:v>
      </x:c>
      <x:c r="F59" s="27" t="n">
        <x:v>46173</x:v>
      </x:c>
      <x:c r="G59" s="30" t="n">
        <x:f>IF(F59="","",DATE(2026,8,8)-F59)</x:f>
        <x:v>69</x:v>
      </x:c>
      <x:c r="H59" s="24" t="str">
        <x:f>IF(G59="","无法判定",IF(G59&lt;=120,"近期",IF(G59&lt;=365,"较新",IF(G59&lt;=1095,"滞后","严重滞后"))))</x:f>
        <x:v>近期</x:v>
      </x:c>
      <x:c r="I59" s="24" t="str">
        <x:v>https://dd.data1688.com/custom/countrySearch?country=%E4%B9%8C%E5%B9%B2%E8%BE%BE&amp;imgUrl=UG.png&amp;defaultType=0</x:v>
      </x:c>
      <x:c r="J59" s="24" t="str">
        <x:v>2026-08-08 18:00 CST</x:v>
      </x:c>
      <x:c r="K59" s="24" t="str">
        <x:v>日期控件可读取</x:v>
      </x:c>
    </x:row>
    <x:row r="60">
      <x:c r="A60" s="24" t="str">
        <x:v>非洲</x:v>
      </x:c>
      <x:c r="B60" s="24" t="str">
        <x:v>肯尼亚</x:v>
      </x:c>
      <x:c r="C60" s="24" t="str">
        <x:v>肯尼亚</x:v>
      </x:c>
      <x:c r="D60" s="24" t="str">
        <x:v>标准库</x:v>
      </x:c>
      <x:c r="E60" s="27" t="n">
        <x:v>45107</x:v>
      </x:c>
      <x:c r="F60" s="27" t="n">
        <x:v>46203</x:v>
      </x:c>
      <x:c r="G60" s="30" t="n">
        <x:f>IF(F60="","",DATE(2026,8,8)-F60)</x:f>
        <x:v>39</x:v>
      </x:c>
      <x:c r="H60" s="24" t="str">
        <x:f>IF(G60="","无法判定",IF(G60&lt;=120,"近期",IF(G60&lt;=365,"较新",IF(G60&lt;=1095,"滞后","严重滞后"))))</x:f>
        <x:v>近期</x:v>
      </x:c>
      <x:c r="I60" s="24" t="str">
        <x:v>https://dd.data1688.com/custom/countrySearch?country=%E8%82%AF%E5%B0%BC%E4%BA%9A&amp;imgUrl=KE.png&amp;defaultType=0</x:v>
      </x:c>
      <x:c r="J60" s="24" t="str">
        <x:v>2026-08-08 18:00 CST</x:v>
      </x:c>
      <x:c r="K60" s="24" t="str">
        <x:v>日期控件可读取</x:v>
      </x:c>
    </x:row>
    <x:row r="61">
      <x:c r="A61" s="24" t="str">
        <x:v>非洲</x:v>
      </x:c>
      <x:c r="B61" s="24" t="str">
        <x:v>利比里亚</x:v>
      </x:c>
      <x:c r="C61" s="24" t="str">
        <x:v>利比里亚</x:v>
      </x:c>
      <x:c r="D61" s="24" t="str">
        <x:v>标准库</x:v>
      </x:c>
      <x:c r="E61" s="27" t="n">
        <x:v>43465</x:v>
      </x:c>
      <x:c r="F61" s="27" t="n">
        <x:v>44561</x:v>
      </x:c>
      <x:c r="G61" s="30" t="n">
        <x:f>IF(F61="","",DATE(2026,8,8)-F61)</x:f>
        <x:v>1681</x:v>
      </x:c>
      <x:c r="H61" s="24" t="str">
        <x:f>IF(G61="","无法判定",IF(G61&lt;=120,"近期",IF(G61&lt;=365,"较新",IF(G61&lt;=1095,"滞后","严重滞后"))))</x:f>
        <x:v>严重滞后</x:v>
      </x:c>
      <x:c r="I61" s="24" t="str">
        <x:v>https://dd.data1688.com/custom/countrySearch?country=%E5%88%A9%E6%AF%94%E9%87%8C%E4%BA%9A&amp;imgUrl=LR.png&amp;defaultType=0</x:v>
      </x:c>
      <x:c r="J61" s="24" t="str">
        <x:v>2026-08-08 18:00 CST</x:v>
      </x:c>
      <x:c r="K61" s="24" t="str">
        <x:v>日期控件可读取</x:v>
      </x:c>
    </x:row>
    <x:row r="62">
      <x:c r="A62" s="24" t="str">
        <x:v>非洲</x:v>
      </x:c>
      <x:c r="B62" s="24" t="str">
        <x:v>莱索托</x:v>
      </x:c>
      <x:c r="C62" s="24" t="str">
        <x:v>莱索托</x:v>
      </x:c>
      <x:c r="D62" s="24" t="str">
        <x:v>标准库</x:v>
      </x:c>
      <x:c r="E62" s="27" t="n">
        <x:v>45107</x:v>
      </x:c>
      <x:c r="F62" s="27" t="n">
        <x:v>46203</x:v>
      </x:c>
      <x:c r="G62" s="30" t="n">
        <x:f>IF(F62="","",DATE(2026,8,8)-F62)</x:f>
        <x:v>39</x:v>
      </x:c>
      <x:c r="H62" s="24" t="str">
        <x:f>IF(G62="","无法判定",IF(G62&lt;=120,"近期",IF(G62&lt;=365,"较新",IF(G62&lt;=1095,"滞后","严重滞后"))))</x:f>
        <x:v>近期</x:v>
      </x:c>
      <x:c r="I62" s="24" t="str">
        <x:v>https://dd.data1688.com/custom/countrySearch?country=%E8%8E%B1%E7%B4%A2%E6%89%98&amp;imgUrl=LS.png&amp;defaultType=0</x:v>
      </x:c>
      <x:c r="J62" s="24" t="str">
        <x:v>2026-08-08 18:00 CST</x:v>
      </x:c>
      <x:c r="K62" s="24" t="str">
        <x:v>日期控件可读取</x:v>
      </x:c>
    </x:row>
    <x:row r="63">
      <x:c r="A63" s="24" t="str">
        <x:v>非洲</x:v>
      </x:c>
      <x:c r="B63" s="24" t="str">
        <x:v>纳米比亚</x:v>
      </x:c>
      <x:c r="C63" s="24" t="str">
        <x:v>纳米比亚</x:v>
      </x:c>
      <x:c r="D63" s="24" t="str">
        <x:v>标准库</x:v>
      </x:c>
      <x:c r="E63" s="27" t="n">
        <x:v>45102</x:v>
      </x:c>
      <x:c r="F63" s="27" t="n">
        <x:v>46198</x:v>
      </x:c>
      <x:c r="G63" s="30" t="n">
        <x:f>IF(F63="","",DATE(2026,8,8)-F63)</x:f>
        <x:v>44</x:v>
      </x:c>
      <x:c r="H63" s="24" t="str">
        <x:f>IF(G63="","无法判定",IF(G63&lt;=120,"近期",IF(G63&lt;=365,"较新",IF(G63&lt;=1095,"滞后","严重滞后"))))</x:f>
        <x:v>近期</x:v>
      </x:c>
      <x:c r="I63" s="24" t="str">
        <x:v>https://dd.data1688.com/custom/countrySearch?country=%E7%BA%B3%E7%B1%B3%E6%AF%94%E4%BA%9A&amp;imgUrl=NA.png&amp;defaultType=0</x:v>
      </x:c>
      <x:c r="J63" s="24" t="str">
        <x:v>2026-08-08 18:00 CST</x:v>
      </x:c>
      <x:c r="K63" s="24" t="str">
        <x:v>日期控件可读取</x:v>
      </x:c>
    </x:row>
    <x:row r="64">
      <x:c r="A64" s="24" t="str">
        <x:v>非洲</x:v>
      </x:c>
      <x:c r="B64" s="24" t="str">
        <x:v>科特迪瓦</x:v>
      </x:c>
      <x:c r="C64" s="24" t="str">
        <x:v>科特迪瓦</x:v>
      </x:c>
      <x:c r="D64" s="24" t="str">
        <x:v>标准库</x:v>
      </x:c>
      <x:c r="E64" s="27" t="n">
        <x:v>45107</x:v>
      </x:c>
      <x:c r="F64" s="27" t="n">
        <x:v>46203</x:v>
      </x:c>
      <x:c r="G64" s="30" t="n">
        <x:f>IF(F64="","",DATE(2026,8,8)-F64)</x:f>
        <x:v>39</x:v>
      </x:c>
      <x:c r="H64" s="24" t="str">
        <x:f>IF(G64="","无法判定",IF(G64&lt;=120,"近期",IF(G64&lt;=365,"较新",IF(G64&lt;=1095,"滞后","严重滞后"))))</x:f>
        <x:v>近期</x:v>
      </x:c>
      <x:c r="I64" s="24" t="str">
        <x:v>https://dd.data1688.com/custom/countrySearch?country=%E7%A7%91%E7%89%B9%E8%BF%AA%E7%93%A6&amp;imgUrl=CI.png&amp;defaultType=0</x:v>
      </x:c>
      <x:c r="J64" s="24" t="str">
        <x:v>2026-08-08 18:00 CST</x:v>
      </x:c>
      <x:c r="K64" s="24" t="str">
        <x:v>日期控件可读取</x:v>
      </x:c>
    </x:row>
    <x:row r="65">
      <x:c r="A65" s="24" t="str">
        <x:v>非洲</x:v>
      </x:c>
      <x:c r="B65" s="24" t="str">
        <x:v>尼日利亚</x:v>
      </x:c>
      <x:c r="C65" s="24" t="str">
        <x:v>尼日利亚</x:v>
      </x:c>
      <x:c r="D65" s="24" t="str">
        <x:v>标准库</x:v>
      </x:c>
      <x:c r="E65" s="27" t="n">
        <x:v>44827</x:v>
      </x:c>
      <x:c r="F65" s="27" t="n">
        <x:v>45923</x:v>
      </x:c>
      <x:c r="G65" s="30" t="n">
        <x:f>IF(F65="","",DATE(2026,8,8)-F65)</x:f>
        <x:v>319</x:v>
      </x:c>
      <x:c r="H65" s="24" t="str">
        <x:f>IF(G65="","无法判定",IF(G65&lt;=120,"近期",IF(G65&lt;=365,"较新",IF(G65&lt;=1095,"滞后","严重滞后"))))</x:f>
        <x:v>较新</x:v>
      </x:c>
      <x:c r="I65" s="24" t="str">
        <x:v>https://dd.data1688.com/custom/countrySearch?country=%E5%B0%BC%E6%97%A5%E5%88%A9%E4%BA%9A&amp;imgUrl=NG.png&amp;defaultType=0</x:v>
      </x:c>
      <x:c r="J65" s="24" t="str">
        <x:v>2026-08-08 18:00 CST</x:v>
      </x:c>
      <x:c r="K65" s="24" t="str">
        <x:v>日期控件可读取</x:v>
      </x:c>
    </x:row>
    <x:row r="66">
      <x:c r="A66" s="24" t="str">
        <x:v>非洲</x:v>
      </x:c>
      <x:c r="B66" s="24" t="str">
        <x:v>刚果民主共和国</x:v>
      </x:c>
      <x:c r="C66" s="24" t="str">
        <x:v>刚果民主共和国</x:v>
      </x:c>
      <x:c r="D66" s="24" t="str">
        <x:v>标准库</x:v>
      </x:c>
      <x:c r="E66" s="27" t="n">
        <x:v>42735</x:v>
      </x:c>
      <x:c r="F66" s="27" t="n">
        <x:v>43830</x:v>
      </x:c>
      <x:c r="G66" s="30" t="n">
        <x:f>IF(F66="","",DATE(2026,8,8)-F66)</x:f>
        <x:v>2412</x:v>
      </x:c>
      <x:c r="H66" s="24" t="str">
        <x:f>IF(G66="","无法判定",IF(G66&lt;=120,"近期",IF(G66&lt;=365,"较新",IF(G66&lt;=1095,"滞后","严重滞后"))))</x:f>
        <x:v>严重滞后</x:v>
      </x:c>
      <x:c r="I66" s="24" t="str">
        <x:v>https://dd.data1688.com/custom/countrySearch?country=%E5%88%9A%E6%9E%9C%E6%B0%91%E4%B8%BB%E5%85%B1%E5%92%8C%E5%9B%BD&amp;imgUrl=CD.png&amp;defaultType=0</x:v>
      </x:c>
      <x:c r="J66" s="24" t="str">
        <x:v>2026-08-08 18:00 CST</x:v>
      </x:c>
      <x:c r="K66" s="24" t="str">
        <x:v>日期控件可读取</x:v>
      </x:c>
    </x:row>
    <x:row r="67">
      <x:c r="A67" s="24" t="str">
        <x:v>非洲</x:v>
      </x:c>
      <x:c r="B67" s="24" t="str">
        <x:v>加纳</x:v>
      </x:c>
      <x:c r="C67" s="24" t="str">
        <x:v>加纳</x:v>
      </x:c>
      <x:c r="D67" s="24" t="str">
        <x:v>标准库</x:v>
      </x:c>
      <x:c r="E67" s="27" t="n">
        <x:v>45107</x:v>
      </x:c>
      <x:c r="F67" s="27" t="n">
        <x:v>46203</x:v>
      </x:c>
      <x:c r="G67" s="30" t="n">
        <x:f>IF(F67="","",DATE(2026,8,8)-F67)</x:f>
        <x:v>39</x:v>
      </x:c>
      <x:c r="H67" s="24" t="str">
        <x:f>IF(G67="","无法判定",IF(G67&lt;=120,"近期",IF(G67&lt;=365,"较新",IF(G67&lt;=1095,"滞后","严重滞后"))))</x:f>
        <x:v>近期</x:v>
      </x:c>
      <x:c r="I67" s="24" t="str">
        <x:v>https://dd.data1688.com/custom/countrySearch?country=%E5%8A%A0%E7%BA%B3&amp;imgUrl=GH.png&amp;defaultType=0</x:v>
      </x:c>
      <x:c r="J67" s="24" t="str">
        <x:v>2026-08-08 18:00 CST</x:v>
      </x:c>
      <x:c r="K67" s="24" t="str">
        <x:v>日期控件可读取</x:v>
      </x:c>
    </x:row>
    <x:row r="68">
      <x:c r="A68" s="24" t="str">
        <x:v>非洲</x:v>
      </x:c>
      <x:c r="B68" s="24" t="str">
        <x:v>津巴布韦</x:v>
      </x:c>
      <x:c r="C68" s="24" t="str">
        <x:v>津巴布韦</x:v>
      </x:c>
      <x:c r="D68" s="24" t="str">
        <x:v>标准库</x:v>
      </x:c>
      <x:c r="E68" s="27" t="n">
        <x:v>44043</x:v>
      </x:c>
      <x:c r="F68" s="27" t="n">
        <x:v>45138</x:v>
      </x:c>
      <x:c r="G68" s="30" t="n">
        <x:f>IF(F68="","",DATE(2026,8,8)-F68)</x:f>
        <x:v>1104</x:v>
      </x:c>
      <x:c r="H68" s="24" t="str">
        <x:f>IF(G68="","无法判定",IF(G68&lt;=120,"近期",IF(G68&lt;=365,"较新",IF(G68&lt;=1095,"滞后","严重滞后"))))</x:f>
        <x:v>严重滞后</x:v>
      </x:c>
      <x:c r="I68" s="24" t="str">
        <x:v>https://dd.data1688.com/custom/countrySearch?country=%E6%B4%A5%E5%B7%B4%E5%B8%83%E9%9F%A6&amp;imgUrl=ZW.png&amp;defaultType=0</x:v>
      </x:c>
      <x:c r="J68" s="24" t="str">
        <x:v>2026-08-08 18:00 CST</x:v>
      </x:c>
      <x:c r="K68" s="24" t="str">
        <x:v>日期控件可读取</x:v>
      </x:c>
    </x:row>
    <x:row r="69">
      <x:c r="A69" s="24" t="str">
        <x:v>非洲</x:v>
      </x:c>
      <x:c r="B69" s="24" t="str">
        <x:v>喀麦隆</x:v>
      </x:c>
      <x:c r="C69" s="24" t="str">
        <x:v>喀麦隆</x:v>
      </x:c>
      <x:c r="D69" s="24" t="str">
        <x:v>标准库</x:v>
      </x:c>
      <x:c r="E69" s="27" t="n">
        <x:v>45107</x:v>
      </x:c>
      <x:c r="F69" s="27" t="n">
        <x:v>46203</x:v>
      </x:c>
      <x:c r="G69" s="30" t="n">
        <x:f>IF(F69="","",DATE(2026,8,8)-F69)</x:f>
        <x:v>39</x:v>
      </x:c>
      <x:c r="H69" s="24" t="str">
        <x:f>IF(G69="","无法判定",IF(G69&lt;=120,"近期",IF(G69&lt;=365,"较新",IF(G69&lt;=1095,"滞后","严重滞后"))))</x:f>
        <x:v>近期</x:v>
      </x:c>
      <x:c r="I69" s="24" t="str">
        <x:v>https://dd.data1688.com/custom/countrySearch?country=%E5%96%80%E9%BA%A6%E9%9A%86&amp;imgUrl=CM.png&amp;defaultType=0</x:v>
      </x:c>
      <x:c r="J69" s="24" t="str">
        <x:v>2026-08-08 18:00 CST</x:v>
      </x:c>
      <x:c r="K69" s="24" t="str">
        <x:v>日期控件可读取</x:v>
      </x:c>
    </x:row>
    <x:row r="70">
      <x:c r="A70" s="24" t="str">
        <x:v>非洲</x:v>
      </x:c>
      <x:c r="B70" s="24" t="str">
        <x:v>乍得</x:v>
      </x:c>
      <x:c r="C70" s="24" t="str">
        <x:v>乍得</x:v>
      </x:c>
      <x:c r="D70" s="24" t="str">
        <x:v>标准库</x:v>
      </x:c>
      <x:c r="E70" s="27" t="n">
        <x:v>43465</x:v>
      </x:c>
      <x:c r="F70" s="27" t="n">
        <x:v>44561</x:v>
      </x:c>
      <x:c r="G70" s="30" t="n">
        <x:f>IF(F70="","",DATE(2026,8,8)-F70)</x:f>
        <x:v>1681</x:v>
      </x:c>
      <x:c r="H70" s="24" t="str">
        <x:f>IF(G70="","无法判定",IF(G70&lt;=120,"近期",IF(G70&lt;=365,"较新",IF(G70&lt;=1095,"滞后","严重滞后"))))</x:f>
        <x:v>严重滞后</x:v>
      </x:c>
      <x:c r="I70" s="24" t="str">
        <x:v>https://dd.data1688.com/custom/countrySearch?country=%E4%B9%8D%E5%BE%97&amp;imgUrl=TD.png&amp;defaultType=0</x:v>
      </x:c>
      <x:c r="J70" s="24" t="str">
        <x:v>2026-08-08 18:00 CST</x:v>
      </x:c>
      <x:c r="K70" s="24" t="str">
        <x:v>日期控件可读取</x:v>
      </x:c>
    </x:row>
    <x:row r="71">
      <x:c r="A71" s="24" t="str">
        <x:v>非洲</x:v>
      </x:c>
      <x:c r="B71" s="24" t="str">
        <x:v>中非</x:v>
      </x:c>
      <x:c r="C71" s="24" t="str">
        <x:v>中非</x:v>
      </x:c>
      <x:c r="D71" s="24" t="str">
        <x:v>标准库</x:v>
      </x:c>
      <x:c r="E71" s="27" t="n">
        <x:v>43465</x:v>
      </x:c>
      <x:c r="F71" s="27" t="n">
        <x:v>44561</x:v>
      </x:c>
      <x:c r="G71" s="30" t="n">
        <x:f>IF(F71="","",DATE(2026,8,8)-F71)</x:f>
        <x:v>1681</x:v>
      </x:c>
      <x:c r="H71" s="24" t="str">
        <x:f>IF(G71="","无法判定",IF(G71&lt;=120,"近期",IF(G71&lt;=365,"较新",IF(G71&lt;=1095,"滞后","严重滞后"))))</x:f>
        <x:v>严重滞后</x:v>
      </x:c>
      <x:c r="I71" s="24" t="str">
        <x:v>https://dd.data1688.com/custom/countrySearch?country=%E4%B8%AD%E9%9D%9E&amp;imgUrl=CF.png&amp;defaultType=0</x:v>
      </x:c>
      <x:c r="J71" s="24" t="str">
        <x:v>2026-08-08 18:00 CST</x:v>
      </x:c>
      <x:c r="K71" s="24" t="str">
        <x:v>日期控件可读取</x:v>
      </x:c>
    </x:row>
    <x:row r="72">
      <x:c r="A72" s="24" t="str">
        <x:v>非洲</x:v>
      </x:c>
      <x:c r="B72" s="24" t="str">
        <x:v>博茨瓦纳</x:v>
      </x:c>
      <x:c r="C72" s="24" t="str">
        <x:v>博茨瓦纳</x:v>
      </x:c>
      <x:c r="D72" s="24" t="str">
        <x:v>标准库</x:v>
      </x:c>
      <x:c r="E72" s="27" t="n">
        <x:v>45016</x:v>
      </x:c>
      <x:c r="F72" s="27" t="n">
        <x:v>46112</x:v>
      </x:c>
      <x:c r="G72" s="30" t="n">
        <x:f>IF(F72="","",DATE(2026,8,8)-F72)</x:f>
        <x:v>130</x:v>
      </x:c>
      <x:c r="H72" s="24" t="str">
        <x:f>IF(G72="","无法判定",IF(G72&lt;=120,"近期",IF(G72&lt;=365,"较新",IF(G72&lt;=1095,"滞后","严重滞后"))))</x:f>
        <x:v>较新</x:v>
      </x:c>
      <x:c r="I72" s="24" t="str">
        <x:v>https://dd.data1688.com/custom/countrySearch?country=%E5%8D%9A%E8%8C%A8%E7%93%A6%E7%BA%B3&amp;imgUrl=BW.png&amp;defaultType=0</x:v>
      </x:c>
      <x:c r="J72" s="24" t="str">
        <x:v>2026-08-08 18:00 CST</x:v>
      </x:c>
      <x:c r="K72" s="24" t="str">
        <x:v>日期控件可读取</x:v>
      </x:c>
    </x:row>
    <x:row r="73">
      <x:c r="A73" s="24" t="str">
        <x:v>非洲</x:v>
      </x:c>
      <x:c r="B73" s="24" t="str">
        <x:v>坦桑尼亚</x:v>
      </x:c>
      <x:c r="C73" s="24" t="str">
        <x:v>坦桑尼亚</x:v>
      </x:c>
      <x:c r="D73" s="24" t="str">
        <x:v>标准库</x:v>
      </x:c>
      <x:c r="E73" s="27" t="n">
        <x:v>45107</x:v>
      </x:c>
      <x:c r="F73" s="27" t="n">
        <x:v>46203</x:v>
      </x:c>
      <x:c r="G73" s="30" t="n">
        <x:f>IF(F73="","",DATE(2026,8,8)-F73)</x:f>
        <x:v>39</x:v>
      </x:c>
      <x:c r="H73" s="24" t="str">
        <x:f>IF(G73="","无法判定",IF(G73&lt;=120,"近期",IF(G73&lt;=365,"较新",IF(G73&lt;=1095,"滞后","严重滞后"))))</x:f>
        <x:v>近期</x:v>
      </x:c>
      <x:c r="I73" s="24" t="str">
        <x:v>https://dd.data1688.com/custom/countrySearch?country=%E5%9D%A6%E6%A1%91%E5%B0%BC%E4%BA%9A&amp;imgUrl=TZ.png&amp;defaultType=0</x:v>
      </x:c>
      <x:c r="J73" s="24" t="str">
        <x:v>2026-08-08 18:00 CST</x:v>
      </x:c>
      <x:c r="K73" s="24" t="str">
        <x:v>日期控件可读取</x:v>
      </x:c>
    </x:row>
    <x:row r="74">
      <x:c r="A74" s="24" t="str">
        <x:v>大洋洲</x:v>
      </x:c>
      <x:c r="B74" s="24" t="str">
        <x:v>斐济</x:v>
      </x:c>
      <x:c r="C74" s="24" t="str">
        <x:v>斐济</x:v>
      </x:c>
      <x:c r="D74" s="24" t="str">
        <x:v>标准库</x:v>
      </x:c>
      <x:c r="E74" s="27" t="n">
        <x:v>43404</x:v>
      </x:c>
      <x:c r="F74" s="27" t="n">
        <x:v>44500</x:v>
      </x:c>
      <x:c r="G74" s="30" t="n">
        <x:f>IF(F74="","",DATE(2026,8,8)-F74)</x:f>
        <x:v>1742</x:v>
      </x:c>
      <x:c r="H74" s="24" t="str">
        <x:f>IF(G74="","无法判定",IF(G74&lt;=120,"近期",IF(G74&lt;=365,"较新",IF(G74&lt;=1095,"滞后","严重滞后"))))</x:f>
        <x:v>严重滞后</x:v>
      </x:c>
      <x:c r="I74" s="24" t="str">
        <x:v>https://dd.data1688.com/custom/countrySearch?country=%E6%96%90%E6%B5%8E&amp;imgUrl=FJ.png&amp;defaultType=0</x:v>
      </x:c>
      <x:c r="J74" s="24" t="str">
        <x:v>2026-08-08 18:00 CST</x:v>
      </x:c>
      <x:c r="K74" s="24" t="str">
        <x:v>日期控件可读取</x:v>
      </x:c>
    </x:row>
    <x:row r="75">
      <x:c r="A75" s="24" t="str">
        <x:v>其他/综合</x:v>
      </x:c>
      <x:c r="B75" s="24" t="str">
        <x:v>船运</x:v>
      </x:c>
      <x:c r="C75" s="24" t="str">
        <x:v>船运</x:v>
      </x:c>
      <x:c r="D75" s="24" t="str">
        <x:v>标准库</x:v>
      </x:c>
      <x:c r="E75" s="27" t="n">
        <x:v>44031</x:v>
      </x:c>
      <x:c r="F75" s="27" t="n">
        <x:v>45126</x:v>
      </x:c>
      <x:c r="G75" s="30" t="n">
        <x:f>IF(F75="","",DATE(2026,8,8)-F75)</x:f>
        <x:v>1116</x:v>
      </x:c>
      <x:c r="H75" s="24" t="str">
        <x:f>IF(G75="","无法判定",IF(G75&lt;=120,"近期",IF(G75&lt;=365,"较新",IF(G75&lt;=1095,"滞后","严重滞后"))))</x:f>
        <x:v>严重滞后</x:v>
      </x:c>
      <x:c r="I75" s="24" t="str">
        <x:v>https://dd.data1688.com/custom/countrySearch?country=%E8%88%B9%E8%BF%90&amp;imgUrl=transport.png&amp;defaultType=0</x:v>
      </x:c>
      <x:c r="J75" s="24" t="str">
        <x:v>2026-08-08 18:00 CST</x:v>
      </x:c>
      <x:c r="K75" s="24" t="str">
        <x:v>日期控件可读取</x:v>
      </x:c>
    </x:row>
    <x:row r="76">
      <x:c r="A76" s="24" t="str">
        <x:v>其他/综合</x:v>
      </x:c>
      <x:c r="B76" s="24" t="str">
        <x:v>独联体</x:v>
      </x:c>
      <x:c r="C76" s="24" t="str">
        <x:v>独联体</x:v>
      </x:c>
      <x:c r="D76" s="24" t="str">
        <x:v>标准库</x:v>
      </x:c>
      <x:c r="E76" s="27" t="n">
        <x:v>44500</x:v>
      </x:c>
      <x:c r="F76" s="27" t="n">
        <x:v>45596</x:v>
      </x:c>
      <x:c r="G76" s="30" t="n">
        <x:f>IF(F76="","",DATE(2026,8,8)-F76)</x:f>
        <x:v>646</x:v>
      </x:c>
      <x:c r="H76" s="24" t="str">
        <x:f>IF(G76="","无法判定",IF(G76&lt;=120,"近期",IF(G76&lt;=365,"较新",IF(G76&lt;=1095,"滞后","严重滞后"))))</x:f>
        <x:v>滞后</x:v>
      </x:c>
      <x:c r="I76" s="24" t="str">
        <x:v>https://dd.data1688.com/custom/countrySearch?country=%E7%8B%AC%E8%81%94%E4%BD%93&amp;imgUrl=EN.png&amp;defaultType=0</x:v>
      </x:c>
      <x:c r="J76" s="24" t="str">
        <x:v>2026-08-08 18:00 CST</x:v>
      </x:c>
      <x:c r="K76" s="24" t="str">
        <x:v>日期控件可读取</x:v>
      </x:c>
    </x:row>
    <x:row r="77">
      <x:c r="A77" s="25" t="str">
        <x:v>其他/综合</x:v>
      </x:c>
      <x:c r="B77" s="25" t="str">
        <x:v>环球提单</x:v>
      </x:c>
      <x:c r="C77" s="25" t="str">
        <x:v>环球</x:v>
      </x:c>
      <x:c r="D77" s="25" t="str">
        <x:v>提单</x:v>
      </x:c>
      <x:c r="E77" s="28" t="n">
        <x:v>45077</x:v>
      </x:c>
      <x:c r="F77" s="28" t="n">
        <x:v>46173</x:v>
      </x:c>
      <x:c r="G77" s="31" t="n">
        <x:f>IF(F77="","",DATE(2026,8,8)-F77)</x:f>
        <x:v>69</x:v>
      </x:c>
      <x:c r="H77" s="25" t="str">
        <x:f>IF(G77="","无法判定",IF(G77&lt;=120,"近期",IF(G77&lt;=365,"较新",IF(G77&lt;=1095,"滞后","严重滞后"))))</x:f>
        <x:v>近期</x:v>
      </x:c>
      <x:c r="I77" s="25" t="str">
        <x:v>https://dd.data1688.com/custom/countrySearch?country=%E7%8E%AF%E7%90%83%E6%8F%90%E5%8D%95&amp;imgUrl=GO.png&amp;defaultType=0</x:v>
      </x:c>
      <x:c r="J77" s="25" t="str">
        <x:v>2026-08-08 18:00 CST</x:v>
      </x:c>
      <x:c r="K77" s="25" t="str">
        <x:v>日期控件可读取</x:v>
      </x:c>
    </x:row>
  </x:sheetData>
  <x:mergeCells>
    <x:mergeCell ref="A1:K1"/>
    <x:mergeCell ref="A2:K2"/>
  </x:mergeCells>
  <x:conditionalFormatting sqref="H5:H77">
    <x:cfRule type="containsText" dxfId="0" priority="1" operator="containsText" text="严重滞后"/>
    <x:cfRule type="containsText" dxfId="1" priority="2" operator="containsText" text="近期"/>
    <x:cfRule type="containsText" dxfId="2" priority="3" operator="containsText" text="无法判定"/>
  </x:conditionalFormatting>
  <x:pageMargins left="0.7" right="0.7" top="0.75" bottom="0.75" header="0.3" footer="0.3"/>
  <x:tableParts count="1">
    <x:tablePart xmlns:r="http://schemas.openxmlformats.org/officeDocument/2006/relationships" r:id="R6b9354c2721a48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2" t="str">
        <x:v>数据覆盖摘要</x:v>
      </x:c>
      <x:c r="B1" s="2"/>
      <x:c r="C1" s="2"/>
      <x:c r="D1" s="2"/>
      <x:c r="E1" s="2"/>
      <x:c r="F1" s="2"/>
    </x:row>
    <x:row r="3">
      <x:c r="A3" s="32" t="str">
        <x:v>指标</x:v>
      </x:c>
      <x:c r="B3" s="32" t="str">
        <x:v>数量</x:v>
      </x:c>
      <x:c r="D3" s="32" t="str">
        <x:v>重点提示</x:v>
      </x:c>
      <x:c r="E3" s="32" t="str">
        <x:v>普通库最新日</x:v>
      </x:c>
      <x:c r="F3" s="32" t="str">
        <x:v>替代/新版最新日</x:v>
      </x:c>
    </x:row>
    <x:row r="4">
      <x:c r="A4" s="33" t="str">
        <x:v>可选数据源</x:v>
      </x:c>
      <x:c r="B4" s="33" t="n">
        <x:v>73</x:v>
      </x:c>
      <x:c r="D4" s="33" t="str">
        <x:v>墨西哥</x:v>
      </x:c>
      <x:c r="E4" s="33" t="str">
        <x:v>2023-03-31</x:v>
      </x:c>
      <x:c r="F4" s="33" t="str">
        <x:v>墨西哥全港 2026-05-31</x:v>
      </x:c>
    </x:row>
    <x:row r="5">
      <x:c r="A5" s="33" t="str">
        <x:v>已读取日期</x:v>
      </x:c>
      <x:c r="B5" s="33" t="n">
        <x:v>72</x:v>
      </x:c>
      <x:c r="D5" s="33" t="str">
        <x:v>巴拉圭</x:v>
      </x:c>
      <x:c r="E5" s="33" t="str">
        <x:v>2026-07-31</x:v>
      </x:c>
      <x:c r="F5" s="33" t="str">
        <x:v>巴拉圭关单 2023-03-31</x:v>
      </x:c>
    </x:row>
    <x:row r="6">
      <x:c r="A6" s="33" t="str">
        <x:v>未显示日期</x:v>
      </x:c>
      <x:c r="B6" s="33" t="n">
        <x:v>1</x:v>
      </x:c>
      <x:c r="D6" s="33" t="str">
        <x:v>巴基斯坦</x:v>
      </x:c>
      <x:c r="E6" s="33" t="str">
        <x:v>2021-04-07</x:v>
      </x:c>
      <x:c r="F6" s="33" t="str">
        <x:v>巴基斯坦关单 2026-07-31</x:v>
      </x:c>
    </x:row>
    <x:row r="7">
      <x:c r="A7" s="33" t="str">
        <x:v>含版本标签的数据源</x:v>
      </x:c>
      <x:c r="B7" s="33" t="n">
        <x:v>16</x:v>
      </x:c>
      <x:c r="D7" s="33" t="str">
        <x:v>印度</x:v>
      </x:c>
      <x:c r="E7" s="33" t="str">
        <x:v>—</x:v>
      </x:c>
      <x:c r="F7" s="33" t="str">
        <x:v>印度全港 2026-02-28</x:v>
      </x:c>
    </x:row>
    <x:row r="8">
      <x:c r="D8" s="33" t="str">
        <x:v>越南</x:v>
      </x:c>
      <x:c r="E8" s="33" t="str">
        <x:v>2021-12-31</x:v>
      </x:c>
      <x:c r="F8" s="33" t="str">
        <x:v>越南全港 2026-06-30</x:v>
      </x:c>
    </x:row>
    <x:row r="9">
      <x:c r="D9" s="33" t="str">
        <x:v>菲律宾</x:v>
      </x:c>
      <x:c r="E9" s="33" t="str">
        <x:v>2020-12-31</x:v>
      </x:c>
      <x:c r="F9" s="33" t="str">
        <x:v>菲律宾新版 2026-06-30</x:v>
      </x:c>
    </x:row>
  </x:sheetData>
  <x:mergeCells>
    <x:mergeCell ref="A1:F1"/>
  </x:mergeCells>
  <x:pageMargins left="0.7" right="0.7" top="0.75" bottom="0.75" header="0.3" footer="0.3"/>
</x:worksheet>
</file>